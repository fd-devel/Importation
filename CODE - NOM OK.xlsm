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/>
</workbook>
</file>

<file path=xl/calcChain.xml><?xml version="1.0" encoding="utf-8"?>
<calcChain xmlns="http://schemas.openxmlformats.org/spreadsheetml/2006/main">
  <c r="A3" i="9" l="1"/>
  <c r="A2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10" type="6" refreshedVersion="0" background="1">
    <textPr prompt="0" sourceFile="C:\Importations\XLX\TMP\11\FichierATraiter.txt2" decimal="," thousands=" ">
      <textFields>
        <textField/>
      </textFields>
    </textPr>
  </connection>
  <connection id="4" name="FichierATraiter11" type="6" refreshedVersion="0" background="1">
    <textPr prompt="0" sourceFile="I:\Importations\XLX\TMP\112514\FichierATraiter.txt" decimal="," thousands=" ">
      <textFields>
        <textField/>
      </textFields>
    </textPr>
  </connection>
  <connection id="5" name="FichierATraiter12" type="6" refreshedVersion="0" background="1">
    <textPr prompt="0" sourceFile="I:\Importations\XLX\TMP\112514\FichierATraiter.txt" decimal="," thousands=" ">
      <textFields>
        <textField/>
      </textFields>
    </textPr>
  </connection>
  <connection id="6" name="FichierATraiter13" type="6" refreshedVersion="0" background="1">
    <textPr prompt="0" sourceFile="I:\Importations\XLX\TMP\112514\FichierATraiter.txt" decimal="," thousands=" ">
      <textFields>
        <textField/>
      </textFields>
    </textPr>
  </connection>
  <connection id="7" name="FichierATraiter14" type="6" refreshedVersion="0" background="1">
    <textPr prompt="0" sourceFile="C:\Importations\XLX\TMP\13\FichierATraiter.txt" decimal="," thousands=" ">
      <textFields>
        <textField/>
      </textFields>
    </textPr>
  </connection>
  <connection id="8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9" name="FichierATraiter21" type="6" refreshedVersion="0" background="1">
    <textPr prompt="0" sourceFile="I:\Importations\XLX\TMP\112514\FichierATraiter2.txt" decimal="," thousands=" ">
      <textFields>
        <textField/>
      </textFields>
    </textPr>
  </connection>
  <connection id="10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11" name="FichierATraiter4" type="6" refreshedVersion="0" background="1">
    <textPr prompt="0" sourceFile="D:\CERFRANCE\CEGID\XLX\TMP\121\FichierATraiter.txt" decimal="," thousands=" ">
      <textFields>
        <textField/>
      </textFields>
    </textPr>
  </connection>
  <connection id="12" name="FichierATraiter5" type="6" refreshedVersion="0" background="1">
    <textPr prompt="0" sourceFile="C:\Importations\XLX\TMP\11\FichierATraiter.txt" decimal="," thousands=" ">
      <textFields>
        <textField/>
      </textFields>
    </textPr>
  </connection>
  <connection id="13" name="FichierATraiter6" type="6" refreshedVersion="0" background="1">
    <textPr prompt="0" sourceFile="C:\Importations\XLX\TMP\11\FichierATraiter.txt" decimal="," thousands=" ">
      <textFields>
        <textField/>
      </textFields>
    </textPr>
  </connection>
  <connection id="14" name="FichierATraiter7" type="6" refreshedVersion="0" background="1">
    <textPr prompt="0" sourceFile="C:\Importations\XLX\TMP\11\FichierATraiter.txt" decimal="," thousands=" ">
      <textFields>
        <textField/>
      </textFields>
    </textPr>
  </connection>
  <connection id="15" name="FichierATraiter8" type="6" refreshedVersion="0" background="1">
    <textPr prompt="0" sourceFile="C:\Importations\XLX\TMP\11\FichierATraiter.txt2" decimal="," thousands=" ">
      <textFields>
        <textField/>
      </textFields>
    </textPr>
  </connection>
  <connection id="16" name="FichierATraiter9" type="6" refreshedVersion="0" background="1">
    <textPr prompt="0" sourceFile="C:\Importations\XLX\TMP\11\FichierATraiter.txt2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<sst xmlns="http://schemas.openxmlformats.org/spreadsheetml/2006/main" count="413" uniqueCount="169">
  <si>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</si>
  <si>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</si>
  <si>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</si>
  <si>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</si>
  <si>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</si>
  <si>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</si>
  <si>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</si>
  <si>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</si>
  <si>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</si>
  <si>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</si>
  <si>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</si>
  <si>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</si>
  <si>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</si>
  <si>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</si>
  <si>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</si>
  <si>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</si>
  <si>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</si>
  <si>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</si>
  <si>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</si>
  <si>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</si>
  <si>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</si>
  <si>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</si>
  <si>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</si>
  <si>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</si>
  <si>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</si>
  <si>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</si>
  <si>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</si>
  <si>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</si>
  <si>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</si>
  <si>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</si>
  <si>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</si>
  <si>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</si>
  <si>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</si>
  <si>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</si>
  <si>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</si>
  <si>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</si>
  <si>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</si>
  <si>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</si>
  <si>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</si>
  <si>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</si>
  <si>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</si>
  <si>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</si>
  <si>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</si>
  <si>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</si>
  <si>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</si>
  <si>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</si>
  <si>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</si>
  <si>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</si>
  <si>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</si>
  <si>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</si>
  <si>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</si>
  <si>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</si>
  <si>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</si>
  <si>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</si>
  <si>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</si>
  <si>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</si>
  <si>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</si>
  <si>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</si>
  <si>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</si>
  <si>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</si>
  <si>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</si>
  <si>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</si>
  <si>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</si>
  <si>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</si>
  <si>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</si>
  <si>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</si>
  <si>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</si>
  <si>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</si>
  <si>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</si>
  <si>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</si>
  <si>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</si>
  <si>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</si>
  <si>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</si>
  <si>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</si>
  <si>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>Sur la ligne ci-dessous indiquer le nombre de caractères de chaque colonne</t>
  </si>
  <si>
    <t>Première ligne à importer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</si>
  <si>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</si>
  <si>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</si>
  <si>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</si>
  <si>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</si>
  <si>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</si>
  <si>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</si>
  <si>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</si>
  <si>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</si>
  <si>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</si>
  <si>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</si>
  <si>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</si>
  <si>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</si>
  <si>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</si>
  <si>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</si>
  <si>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</si>
  <si>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</si>
  <si>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</si>
  <si>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</si>
  <si>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</si>
  <si>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</si>
  <si>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</si>
  <si>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</si>
  <si>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</si>
  <si>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</si>
  <si>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</si>
  <si>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</si>
  <si>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</si>
  <si>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</si>
  <si>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</si>
  <si>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mm/jj/aaaa</t>
  </si>
  <si>
    <t>jj/mm/aaaa</t>
  </si>
  <si>
    <t>aaaa/mm/jj</t>
  </si>
  <si>
    <t>mm/aaaa/jj</t>
  </si>
  <si>
    <t>jj/aaaa/mm</t>
  </si>
  <si>
    <t>aaaa/jj/mm</t>
  </si>
  <si>
    <t>Màj</t>
  </si>
  <si>
    <t xml:space="preserve">POMO </t>
  </si>
  <si>
    <t>Mode Dev</t>
  </si>
  <si>
    <t>Dièse ( # )</t>
  </si>
  <si>
    <t>ISAGRI</t>
  </si>
  <si>
    <t>VIDE</t>
  </si>
  <si>
    <t>ACH</t>
  </si>
  <si>
    <t>BQ1</t>
  </si>
  <si>
    <t xml:space="preserve">Paramètres du fichier à importer </t>
  </si>
  <si>
    <t>Mode Dev activé  - Ne fonctionne pas en production</t>
  </si>
  <si>
    <t>BQ2</t>
  </si>
  <si>
    <t>BQ3</t>
  </si>
  <si>
    <t>CAI</t>
  </si>
  <si>
    <t>SAL</t>
  </si>
  <si>
    <t>EXT</t>
  </si>
  <si>
    <t>F0000000</t>
  </si>
  <si>
    <t>FA000000</t>
  </si>
  <si>
    <t>FB000000</t>
  </si>
  <si>
    <t>FF000000</t>
  </si>
  <si>
    <t>FD000000</t>
  </si>
  <si>
    <t>FE000000</t>
  </si>
  <si>
    <t>FG000000</t>
  </si>
  <si>
    <t>FH000000</t>
  </si>
  <si>
    <t>FI000000</t>
  </si>
  <si>
    <t>FJ000000</t>
  </si>
  <si>
    <t>FK000000</t>
  </si>
  <si>
    <t>FL000000</t>
  </si>
  <si>
    <t>FM000000</t>
  </si>
  <si>
    <t>FN000000</t>
  </si>
  <si>
    <t>FO000000</t>
  </si>
  <si>
    <t>FP000000</t>
  </si>
  <si>
    <t>FQ000000</t>
  </si>
  <si>
    <t>FR000000</t>
  </si>
  <si>
    <t>FS000000</t>
  </si>
  <si>
    <t>FT000000</t>
  </si>
  <si>
    <t>FU000000</t>
  </si>
  <si>
    <t>FV000000</t>
  </si>
  <si>
    <t>FW000000</t>
  </si>
  <si>
    <t>FX000000</t>
  </si>
  <si>
    <t>FY000000</t>
  </si>
  <si>
    <t>FZ000000</t>
  </si>
  <si>
    <t>FC000000</t>
  </si>
  <si>
    <t>aa</t>
  </si>
  <si>
    <t>Param POMO</t>
  </si>
  <si>
    <t>S0000000</t>
  </si>
  <si>
    <t>CFC Caisse</t>
  </si>
  <si>
    <t>CFC Fact</t>
  </si>
  <si>
    <t>Logiciel / Ecritures du client</t>
  </si>
  <si>
    <t>TE</t>
  </si>
  <si>
    <t>ECR / BAL</t>
  </si>
  <si>
    <t>-- Pour balances--</t>
  </si>
  <si>
    <t>-- Pour écritures</t>
  </si>
  <si>
    <t>En champs fixes, indiquer ci-dessous le nombre de caractères de chaque colonne</t>
  </si>
  <si>
    <t>Cote Ouest</t>
  </si>
  <si>
    <t>VT</t>
  </si>
  <si>
    <t>BQ</t>
  </si>
  <si>
    <t>HA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</si>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</sst>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6" xfId="0" applyBorder="1"/>
    <xf numFmtId="49" fontId="0" fillId="0" borderId="0" xfId="0" applyNumberForma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49" fontId="0" fillId="0" borderId="0" xfId="0" applyNumberFormat="1"/>
    <xf numFmtId="0" fontId="10" fillId="0" borderId="0" xfId="0" applyFont="1" applyAlignment="1"/>
    <xf numFmtId="0" fontId="9" fillId="0" borderId="0" xfId="0" applyFont="1" applyAlignment="1"/>
    <xf numFmtId="0" fontId="12" fillId="0" borderId="0" xfId="0" applyFont="1"/>
    <xf numFmtId="0" fontId="0" fillId="0" borderId="6" xfId="0" applyBorder="1" applyAlignment="1">
      <alignment horizontal="center"/>
    </xf>
    <xf numFmtId="0" fontId="0" fillId="0" borderId="0" xfId="0" quotePrefix="1"/>
    <xf numFmtId="0" fontId="13" fillId="0" borderId="0" xfId="0" applyFont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Normal" xfId="0" builtinId="0"/>
    <cellStyle name="Normal_Comptes" xfId="1"/>
    <cellStyle name="Normal_Vérif.Cégid" xfId="2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Radio" checked="Checked" firstButton="1" fmlaLink="Listes!$K$1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CheckBox" checked="Checked" fmlaLink="Listes!$D$1" lockText="1" noThreeD="1"/>
</file>

<file path=xl/ctrlProps/ctrlProp13.xml><?xml version="1.0" encoding="utf-8"?>
<formControlPr xmlns="http://schemas.microsoft.com/office/spreadsheetml/2009/9/main" objectType="CheckBox" checked="Checked" fmlaLink="$E$1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16</xdr:row>
          <xdr:rowOff>57150</xdr:rowOff>
        </xdr:from>
        <xdr:to>
          <xdr:col>1</xdr:col>
          <xdr:colOff>1428750</xdr:colOff>
          <xdr:row>18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1247775</xdr:colOff>
          <xdr:row>16</xdr:row>
          <xdr:rowOff>66675</xdr:rowOff>
        </xdr:from>
        <xdr:to>
          <xdr:col>1</xdr:col>
          <xdr:colOff>466725</xdr:colOff>
          <xdr:row>18</xdr:row>
          <xdr:rowOff>47625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1543050</xdr:colOff>
          <xdr:row>16</xdr:row>
          <xdr:rowOff>66675</xdr:rowOff>
        </xdr:from>
        <xdr:to>
          <xdr:col>2</xdr:col>
          <xdr:colOff>752475</xdr:colOff>
          <xdr:row>18</xdr:row>
          <xdr:rowOff>47625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ISAGRI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16</xdr:row>
          <xdr:rowOff>66675</xdr:rowOff>
        </xdr:from>
        <xdr:to>
          <xdr:col>2</xdr:col>
          <xdr:colOff>1724025</xdr:colOff>
          <xdr:row>18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Cote Ouest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15</xdr:row>
          <xdr:rowOff>114300</xdr:rowOff>
        </xdr:from>
        <xdr:to>
          <xdr:col>2</xdr:col>
          <xdr:colOff>4714875</xdr:colOff>
          <xdr:row>18</xdr:row>
          <xdr:rowOff>180975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Initialiser les paramètres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1809750</xdr:colOff>
          <xdr:row>16</xdr:row>
          <xdr:rowOff>66675</xdr:rowOff>
        </xdr:from>
        <xdr:to>
          <xdr:col>2</xdr:col>
          <xdr:colOff>2705100</xdr:colOff>
          <xdr:row>18</xdr:row>
          <xdr:rowOff>47625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CFC Caisse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2790825</xdr:colOff>
          <xdr:row>16</xdr:row>
          <xdr:rowOff>57150</xdr:rowOff>
        </xdr:from>
        <xdr:to>
          <xdr:col>2</xdr:col>
          <xdr:colOff>3686175</xdr:colOff>
          <xdr:row>18</xdr:row>
          <xdr:rowOff>38100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CFC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171450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3073" name="Choix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Choix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295275</xdr:rowOff>
        </xdr:from>
        <xdr:to>
          <xdr:col>12</xdr:col>
          <xdr:colOff>190500</xdr:colOff>
          <xdr:row>1</xdr:row>
          <xdr:rowOff>180975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Ecritues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95250</xdr:rowOff>
        </xdr:from>
        <xdr:to>
          <xdr:col>12</xdr:col>
          <xdr:colOff>190500</xdr:colOff>
          <xdr:row>2</xdr:row>
          <xdr:rowOff>304800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Balance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238125</xdr:colOff>
          <xdr:row>0</xdr:row>
          <xdr:rowOff>209550</xdr:rowOff>
        </xdr:to>
        <xdr:sp macro="" textlink="">
          <xdr:nvSpPr>
            <xdr:cNvPr id="3076" name="ModeDev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9525</xdr:rowOff>
        </xdr:from>
        <xdr:to>
          <xdr:col>6</xdr:col>
          <xdr:colOff>200025</xdr:colOff>
          <xdr:row>1</xdr:row>
          <xdr:rowOff>28575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808080" mc:Ignorable="a14" a14:legacySpreadsheetColorIndex="23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Regrouper les comptes Auxiliares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showGridLines="0" tabSelected="1" workbookViewId="0">
      <selection activeCell="B1" sqref="B1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168</v>
      </c>
      <c r="D1" s="1" t="s">
        <v>111</v>
      </c>
      <c r="E1" s="34">
        <v>42775</v>
      </c>
      <c r="Z1" t="s">
        <v>9</v>
      </c>
    </row>
    <row r="2" spans="1:26" x14ac:dyDescent="0.25">
      <c r="A2" s="1" t="s">
        <v>11</v>
      </c>
      <c r="B2" s="6" t="s">
        <v>153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 t="s">
        <v>158</v>
      </c>
      <c r="B4" s="23" t="s">
        <v>157</v>
      </c>
    </row>
    <row r="5" spans="1:26" x14ac:dyDescent="0.25">
      <c r="A5" s="22"/>
      <c r="B5" s="23"/>
      <c r="C5" s="26" t="s">
        <v>71</v>
      </c>
    </row>
    <row r="6" spans="1:26" x14ac:dyDescent="0.25">
      <c r="C6" s="27" t="s">
        <v>70</v>
      </c>
    </row>
    <row r="7" spans="1:26" x14ac:dyDescent="0.25">
      <c r="C7" s="28" t="s">
        <v>72</v>
      </c>
    </row>
    <row r="8" spans="1:26" x14ac:dyDescent="0.25">
      <c r="C8" s="29" t="s">
        <v>73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>
        <v>42775</v>
      </c>
    </row>
    <row r="12" spans="1:26" x14ac:dyDescent="0.25">
      <c r="A12" s="1" t="s">
        <v>8</v>
      </c>
      <c r="B12" s="9">
        <v>0.92423611111111115</v>
      </c>
    </row>
    <row r="18" spans="1:2" x14ac:dyDescent="0.25">
      <c r="A18" s="2"/>
      <c r="B18" s="4"/>
    </row>
  </sheetData>
  <dataValidations count="1">
    <dataValidation type="list" allowBlank="1" showInputMessage="1" promptTitle="Choisir le modèle d'écritures" sqref="B4">
      <formula1>"ISAGRI, POMO, Cote Ouest, CFC Caisse, CFC Fact, AUTRE"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Go_POMO">
                <anchor moveWithCells="1" sizeWithCells="1">
                  <from>
                    <xdr:col>1</xdr:col>
                    <xdr:colOff>533400</xdr:colOff>
                    <xdr:row>16</xdr:row>
                    <xdr:rowOff>57150</xdr:rowOff>
                  </from>
                  <to>
                    <xdr:col>1</xdr:col>
                    <xdr:colOff>1428750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Go_Vide">
                <anchor moveWithCells="1" sizeWithCells="1">
                  <from>
                    <xdr:col>0</xdr:col>
                    <xdr:colOff>1247775</xdr:colOff>
                    <xdr:row>16</xdr:row>
                    <xdr:rowOff>66675</xdr:rowOff>
                  </from>
                  <to>
                    <xdr:col>1</xdr:col>
                    <xdr:colOff>466725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Go_ISAGRI">
                <anchor moveWithCells="1" sizeWithCells="1">
                  <from>
                    <xdr:col>1</xdr:col>
                    <xdr:colOff>1543050</xdr:colOff>
                    <xdr:row>16</xdr:row>
                    <xdr:rowOff>66675</xdr:rowOff>
                  </from>
                  <to>
                    <xdr:col>2</xdr:col>
                    <xdr:colOff>752475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Go_Cote_Ouest">
                <anchor moveWithCells="1" sizeWithCells="1">
                  <from>
                    <xdr:col>2</xdr:col>
                    <xdr:colOff>828675</xdr:colOff>
                    <xdr:row>16</xdr:row>
                    <xdr:rowOff>66675</xdr:rowOff>
                  </from>
                  <to>
                    <xdr:col>2</xdr:col>
                    <xdr:colOff>1724025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Group Box 16">
              <controlPr defaultSize="0" autoFill="0" autoPict="0">
                <anchor moveWithCells="1">
                  <from>
                    <xdr:col>0</xdr:col>
                    <xdr:colOff>1066800</xdr:colOff>
                    <xdr:row>15</xdr:row>
                    <xdr:rowOff>114300</xdr:rowOff>
                  </from>
                  <to>
                    <xdr:col>2</xdr:col>
                    <xdr:colOff>4714875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o_CFC_Caisse">
                <anchor moveWithCells="1" sizeWithCells="1">
                  <from>
                    <xdr:col>2</xdr:col>
                    <xdr:colOff>1809750</xdr:colOff>
                    <xdr:row>16</xdr:row>
                    <xdr:rowOff>66675</xdr:rowOff>
                  </from>
                  <to>
                    <xdr:col>2</xdr:col>
                    <xdr:colOff>2705100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Go_CFC_Fact">
                <anchor moveWithCells="1" sizeWithCells="1">
                  <from>
                    <xdr:col>2</xdr:col>
                    <xdr:colOff>2790825</xdr:colOff>
                    <xdr:row>16</xdr:row>
                    <xdr:rowOff>57150</xdr:rowOff>
                  </from>
                  <to>
                    <xdr:col>2</xdr:col>
                    <xdr:colOff>3686175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10"/>
  <sheetViews>
    <sheetView zoomScaleNormal="100" workbookViewId="0">
      <selection activeCell="A7" sqref="A7:L7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48" t="s">
        <v>119</v>
      </c>
      <c r="B1" s="48"/>
      <c r="C1" s="48"/>
      <c r="D1" s="48"/>
      <c r="E1" s="48"/>
      <c r="F1" s="48"/>
      <c r="G1" s="49" t="s">
        <v>75</v>
      </c>
      <c r="H1" s="50"/>
      <c r="I1" s="32">
        <v>2</v>
      </c>
    </row>
    <row r="2" spans="1:30" ht="15.75" thickBot="1" x14ac:dyDescent="0.3">
      <c r="A2" s="37" t="str">
        <f>Listes!E20</f>
        <v>Mode Dev activé  - Ne fonctionne pas en production</v>
      </c>
    </row>
    <row r="3" spans="1:30" ht="25.5" customHeight="1" thickBot="1" x14ac:dyDescent="0.3">
      <c r="A3" s="38">
        <f>SUM(A5:AD5)</f>
        <v>448</v>
      </c>
      <c r="B3" s="30" t="s">
        <v>40</v>
      </c>
      <c r="C3" s="31"/>
      <c r="D3" s="46" t="s">
        <v>43</v>
      </c>
      <c r="E3" s="47"/>
      <c r="F3" s="17"/>
      <c r="G3" s="30" t="s">
        <v>68</v>
      </c>
      <c r="H3" s="31"/>
      <c r="I3" s="46" t="s">
        <v>106</v>
      </c>
      <c r="J3" s="47"/>
      <c r="K3" s="21"/>
    </row>
    <row r="4" spans="1:30" ht="28.5" customHeight="1" x14ac:dyDescent="0.25">
      <c r="A4" s="45" t="s">
        <v>163</v>
      </c>
      <c r="B4" s="40"/>
      <c r="C4" s="41"/>
      <c r="D4" s="41"/>
      <c r="E4" s="41"/>
      <c r="F4" s="41"/>
      <c r="G4" s="41"/>
      <c r="H4" s="41"/>
      <c r="I4" s="41"/>
      <c r="J4" s="41"/>
    </row>
    <row r="5" spans="1:30" ht="25.5" customHeight="1" thickBot="1" x14ac:dyDescent="0.3">
      <c r="A5" s="20">
        <v>1</v>
      </c>
      <c r="B5" s="20">
        <v>8</v>
      </c>
      <c r="C5" s="20">
        <v>30</v>
      </c>
      <c r="D5" s="20">
        <v>34</v>
      </c>
      <c r="E5" s="20">
        <v>12</v>
      </c>
      <c r="F5" s="20">
        <v>1</v>
      </c>
      <c r="G5" s="20">
        <v>12</v>
      </c>
      <c r="H5" s="20">
        <v>350</v>
      </c>
      <c r="I5" s="20">
        <v>0</v>
      </c>
      <c r="J5" s="20">
        <v>0</v>
      </c>
      <c r="K5" s="20">
        <v>0</v>
      </c>
      <c r="L5" s="20">
        <v>0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13</v>
      </c>
      <c r="B7" s="18" t="s">
        <v>7</v>
      </c>
      <c r="C7" s="18" t="s">
        <v>19</v>
      </c>
      <c r="D7" s="18" t="s">
        <v>17</v>
      </c>
      <c r="E7" s="18" t="s">
        <v>14</v>
      </c>
      <c r="F7" s="18" t="s">
        <v>18</v>
      </c>
      <c r="G7" s="18" t="s">
        <v>24</v>
      </c>
      <c r="H7" s="18" t="s">
        <v>22</v>
      </c>
      <c r="I7" s="18" t="s">
        <v>23</v>
      </c>
      <c r="J7" s="18" t="s">
        <v>26</v>
      </c>
      <c r="K7" s="18" t="s">
        <v>67</v>
      </c>
      <c r="L7" s="18" t="s">
        <v>67</v>
      </c>
      <c r="M7" s="18" t="s">
        <v>67</v>
      </c>
      <c r="N7" s="18" t="s">
        <v>67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  <row r="10" spans="1:30" x14ac:dyDescent="0.25">
      <c r="F10" s="39"/>
    </row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ErrorMessage="1" errorTitle="A sélectionner dans la liste!" error="Vous devez uniquement choisir une valeur dans la liste" promptTitle="Séparateur" sqref="D3:E3">
      <formula1>Separateurs</formula1>
    </dataValidation>
    <dataValidation type="whole" operator="greaterThanOrEqual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oix">
              <controlPr defaultSize="0" autoFill="0" autoPict="0">
                <anchor moveWithCells="1">
                  <from>
                    <xdr:col>10</xdr:col>
                    <xdr:colOff>438150</xdr:colOff>
                    <xdr:row>0</xdr:row>
                    <xdr:rowOff>171450</xdr:rowOff>
                  </from>
                  <to>
                    <xdr:col>12</xdr:col>
                    <xdr:colOff>295275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11</xdr:col>
                    <xdr:colOff>47625</xdr:colOff>
                    <xdr:row>0</xdr:row>
                    <xdr:rowOff>295275</xdr:rowOff>
                  </from>
                  <to>
                    <xdr:col>12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 moveWithCells="1">
                  <from>
                    <xdr:col>11</xdr:col>
                    <xdr:colOff>47625</xdr:colOff>
                    <xdr:row>2</xdr:row>
                    <xdr:rowOff>95250</xdr:rowOff>
                  </from>
                  <to>
                    <xdr:col>12</xdr:col>
                    <xdr:colOff>190500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odeDev">
              <controlPr defaultSize="0" autoFill="0" autoLine="0" autoPict="0">
                <anchor mov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238125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D0272D1-27FD-4D45-882C-D67FBF3A33D9}">
            <xm:f>Listes!$D$1=TRUE</xm:f>
            <x14:dxf>
              <font>
                <b/>
                <i val="0"/>
                <color rgb="FFFF0000"/>
              </font>
            </x14:dxf>
          </x14:cfRule>
          <xm:sqref>A2</xm:sqref>
        </x14:conditionalFormatting>
        <x14:conditionalFormatting xmlns:xm="http://schemas.microsoft.com/office/excel/2006/main">
          <x14:cfRule type="expression" priority="1" id="{77562DAC-6B00-4ABA-BAC3-F249990A2CA9}">
            <xm:f>$D$3=Listes!$E$7</xm:f>
            <x14:dxf>
              <font>
                <b/>
                <i val="0"/>
                <color rgb="FFFF0000"/>
              </font>
            </x14:dxf>
          </x14:cfRule>
          <xm:sqref>A4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D57"/>
  <sheetViews>
    <sheetView topLeftCell="A46" workbookViewId="0">
      <selection activeCell="F62" sqref="F62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1" spans="1:11" x14ac:dyDescent="0.25">
      <c r="C1" t="s">
        <v>113</v>
      </c>
      <c r="D1" s="35" t="b">
        <v>1</v>
      </c>
      <c r="J1" t="s">
        <v>160</v>
      </c>
      <c r="K1" s="43">
        <v>1</v>
      </c>
    </row>
    <row r="3" spans="1:11" x14ac:dyDescent="0.25">
      <c r="B3" t="s">
        <v>41</v>
      </c>
      <c r="E3" t="s">
        <v>42</v>
      </c>
      <c r="H3" t="s">
        <v>68</v>
      </c>
    </row>
    <row r="5" spans="1:11" x14ac:dyDescent="0.25">
      <c r="A5" s="15">
        <v>1</v>
      </c>
      <c r="B5" s="44" t="s">
        <v>162</v>
      </c>
      <c r="E5" t="s">
        <v>43</v>
      </c>
      <c r="G5" s="16">
        <v>3</v>
      </c>
      <c r="H5" t="s">
        <v>105</v>
      </c>
    </row>
    <row r="6" spans="1:11" x14ac:dyDescent="0.25">
      <c r="A6" s="15">
        <v>2</v>
      </c>
      <c r="B6" t="s">
        <v>67</v>
      </c>
      <c r="E6" t="s">
        <v>44</v>
      </c>
      <c r="G6" s="20">
        <v>4</v>
      </c>
      <c r="H6" t="s">
        <v>106</v>
      </c>
    </row>
    <row r="7" spans="1:11" x14ac:dyDescent="0.25">
      <c r="A7" s="15">
        <v>3</v>
      </c>
      <c r="B7" t="s">
        <v>26</v>
      </c>
      <c r="E7" t="s">
        <v>69</v>
      </c>
      <c r="G7" s="20">
        <v>5</v>
      </c>
      <c r="H7" t="s">
        <v>107</v>
      </c>
    </row>
    <row r="8" spans="1:11" x14ac:dyDescent="0.25">
      <c r="A8" s="15">
        <v>4</v>
      </c>
      <c r="B8" t="s">
        <v>13</v>
      </c>
      <c r="E8" t="s">
        <v>114</v>
      </c>
      <c r="G8" s="20">
        <v>6</v>
      </c>
      <c r="H8" t="s">
        <v>108</v>
      </c>
    </row>
    <row r="9" spans="1:11" x14ac:dyDescent="0.25">
      <c r="A9" s="15">
        <v>5</v>
      </c>
      <c r="B9" t="s">
        <v>7</v>
      </c>
      <c r="E9" t="s">
        <v>45</v>
      </c>
      <c r="G9" s="20">
        <v>7</v>
      </c>
      <c r="H9" t="s">
        <v>109</v>
      </c>
    </row>
    <row r="10" spans="1:11" x14ac:dyDescent="0.25">
      <c r="A10" s="15">
        <v>6</v>
      </c>
      <c r="B10" t="s">
        <v>49</v>
      </c>
      <c r="E10" t="s">
        <v>46</v>
      </c>
      <c r="G10" s="20">
        <v>8</v>
      </c>
      <c r="H10" t="s">
        <v>110</v>
      </c>
    </row>
    <row r="11" spans="1:11" x14ac:dyDescent="0.25">
      <c r="A11" s="15">
        <v>7</v>
      </c>
      <c r="B11" t="s">
        <v>14</v>
      </c>
    </row>
    <row r="12" spans="1:11" x14ac:dyDescent="0.25">
      <c r="A12" s="15">
        <v>8</v>
      </c>
      <c r="B12" t="s">
        <v>15</v>
      </c>
    </row>
    <row r="13" spans="1:11" x14ac:dyDescent="0.25">
      <c r="A13" s="15">
        <v>9</v>
      </c>
      <c r="B13" t="s">
        <v>51</v>
      </c>
    </row>
    <row r="14" spans="1:11" x14ac:dyDescent="0.25">
      <c r="A14" s="15">
        <v>10</v>
      </c>
      <c r="B14" t="s">
        <v>17</v>
      </c>
    </row>
    <row r="15" spans="1:11" x14ac:dyDescent="0.25">
      <c r="A15" s="15">
        <v>11</v>
      </c>
      <c r="B15" t="s">
        <v>18</v>
      </c>
    </row>
    <row r="16" spans="1:11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74</v>
      </c>
    </row>
    <row r="20" spans="1:5" x14ac:dyDescent="0.25">
      <c r="A20" s="15">
        <v>16</v>
      </c>
      <c r="B20" t="s">
        <v>23</v>
      </c>
      <c r="E20" t="s">
        <v>120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  <c r="B25" s="44" t="s">
        <v>161</v>
      </c>
    </row>
    <row r="26" spans="1:5" x14ac:dyDescent="0.25">
      <c r="A26" s="15">
        <v>22</v>
      </c>
      <c r="B26" t="s">
        <v>16</v>
      </c>
    </row>
    <row r="27" spans="1:5" x14ac:dyDescent="0.25">
      <c r="A27" s="15">
        <v>23</v>
      </c>
      <c r="B27" t="s">
        <v>20</v>
      </c>
    </row>
    <row r="28" spans="1:5" x14ac:dyDescent="0.25">
      <c r="A28" s="15">
        <v>24</v>
      </c>
      <c r="B28" t="s">
        <v>21</v>
      </c>
    </row>
    <row r="29" spans="1:5" x14ac:dyDescent="0.25">
      <c r="A29" s="15">
        <v>25</v>
      </c>
      <c r="B29" t="s">
        <v>22</v>
      </c>
    </row>
    <row r="30" spans="1:5" x14ac:dyDescent="0.25">
      <c r="A30" s="15">
        <v>26</v>
      </c>
      <c r="B30" t="s">
        <v>23</v>
      </c>
    </row>
    <row r="31" spans="1:5" x14ac:dyDescent="0.25">
      <c r="A31" s="15">
        <v>27</v>
      </c>
      <c r="B31" t="s">
        <v>24</v>
      </c>
    </row>
    <row r="32" spans="1:5" x14ac:dyDescent="0.25">
      <c r="A32" s="15">
        <v>28</v>
      </c>
    </row>
    <row r="33" spans="1:30" x14ac:dyDescent="0.25">
      <c r="A33" s="15">
        <v>29</v>
      </c>
    </row>
    <row r="34" spans="1:30" x14ac:dyDescent="0.25">
      <c r="A34" s="15">
        <v>30</v>
      </c>
    </row>
    <row r="35" spans="1:30" x14ac:dyDescent="0.25">
      <c r="B35" t="s">
        <v>25</v>
      </c>
    </row>
    <row r="39" spans="1:30" x14ac:dyDescent="0.25">
      <c r="A39" s="15" t="s">
        <v>116</v>
      </c>
    </row>
    <row r="40" spans="1:30" x14ac:dyDescent="0.25">
      <c r="A40" t="s">
        <v>67</v>
      </c>
      <c r="B40" t="s">
        <v>67</v>
      </c>
      <c r="C40" t="s">
        <v>67</v>
      </c>
      <c r="D40" t="s">
        <v>67</v>
      </c>
      <c r="E40" t="s">
        <v>67</v>
      </c>
      <c r="F40" t="s">
        <v>67</v>
      </c>
      <c r="G40" t="s">
        <v>67</v>
      </c>
      <c r="H40" t="s">
        <v>67</v>
      </c>
      <c r="I40" t="s">
        <v>67</v>
      </c>
      <c r="J40" t="s">
        <v>67</v>
      </c>
      <c r="K40" t="s">
        <v>67</v>
      </c>
      <c r="L40" t="s">
        <v>67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</row>
    <row r="41" spans="1:30" x14ac:dyDescent="0.25">
      <c r="A41"/>
      <c r="G41"/>
    </row>
    <row r="42" spans="1:30" x14ac:dyDescent="0.25">
      <c r="A42" t="s">
        <v>112</v>
      </c>
      <c r="G42"/>
    </row>
    <row r="43" spans="1:30" x14ac:dyDescent="0.25">
      <c r="A43" t="s">
        <v>13</v>
      </c>
      <c r="B43" t="s">
        <v>19</v>
      </c>
      <c r="C43" t="s">
        <v>7</v>
      </c>
      <c r="D43" t="s">
        <v>49</v>
      </c>
      <c r="E43" t="s">
        <v>17</v>
      </c>
      <c r="F43" t="s">
        <v>26</v>
      </c>
      <c r="G43" t="s">
        <v>26</v>
      </c>
      <c r="H43" t="s">
        <v>14</v>
      </c>
      <c r="I43" t="s">
        <v>18</v>
      </c>
      <c r="J43" t="s">
        <v>26</v>
      </c>
      <c r="K43" t="s">
        <v>26</v>
      </c>
      <c r="L43" t="s">
        <v>26</v>
      </c>
      <c r="M43" t="s">
        <v>20</v>
      </c>
      <c r="N43" t="s">
        <v>21</v>
      </c>
      <c r="O43" t="s">
        <v>26</v>
      </c>
      <c r="P43" t="s">
        <v>26</v>
      </c>
      <c r="Q43" t="s">
        <v>26</v>
      </c>
      <c r="R43" t="s">
        <v>26</v>
      </c>
      <c r="S43" t="s">
        <v>26</v>
      </c>
      <c r="T43" t="s">
        <v>26</v>
      </c>
      <c r="U43" t="s">
        <v>26</v>
      </c>
      <c r="V43" t="s">
        <v>26</v>
      </c>
      <c r="W43" t="s">
        <v>26</v>
      </c>
      <c r="X43" t="s">
        <v>26</v>
      </c>
      <c r="Y43" t="s">
        <v>26</v>
      </c>
      <c r="Z43" t="s">
        <v>26</v>
      </c>
      <c r="AA43" t="s">
        <v>26</v>
      </c>
      <c r="AB43" t="s">
        <v>26</v>
      </c>
      <c r="AC43" t="s">
        <v>26</v>
      </c>
      <c r="AD43" t="s">
        <v>26</v>
      </c>
    </row>
    <row r="45" spans="1:30" x14ac:dyDescent="0.25">
      <c r="A45" t="s">
        <v>164</v>
      </c>
      <c r="G45"/>
    </row>
    <row r="46" spans="1:30" x14ac:dyDescent="0.25">
      <c r="A46" t="s">
        <v>26</v>
      </c>
      <c r="B46" t="s">
        <v>7</v>
      </c>
      <c r="C46" t="s">
        <v>13</v>
      </c>
      <c r="D46" t="s">
        <v>14</v>
      </c>
      <c r="E46" t="s">
        <v>17</v>
      </c>
      <c r="F46" t="s">
        <v>19</v>
      </c>
      <c r="G46" t="s">
        <v>20</v>
      </c>
      <c r="H46" t="s">
        <v>21</v>
      </c>
      <c r="I46" t="s">
        <v>67</v>
      </c>
      <c r="J46" t="s">
        <v>67</v>
      </c>
      <c r="K46" t="s">
        <v>67</v>
      </c>
      <c r="L46" t="s">
        <v>67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  <c r="W46" t="s">
        <v>67</v>
      </c>
      <c r="X46" t="s">
        <v>67</v>
      </c>
      <c r="Y46" t="s">
        <v>67</v>
      </c>
      <c r="Z46" t="s">
        <v>67</v>
      </c>
      <c r="AA46" t="s">
        <v>67</v>
      </c>
      <c r="AB46" t="s">
        <v>67</v>
      </c>
      <c r="AC46" t="s">
        <v>67</v>
      </c>
      <c r="AD46" t="s">
        <v>67</v>
      </c>
    </row>
    <row r="48" spans="1:30" x14ac:dyDescent="0.25">
      <c r="A48" s="15" t="s">
        <v>115</v>
      </c>
    </row>
    <row r="49" spans="1:30" x14ac:dyDescent="0.25">
      <c r="A49" s="15">
        <v>6</v>
      </c>
      <c r="B49">
        <v>2</v>
      </c>
      <c r="C49">
        <v>8</v>
      </c>
      <c r="D49">
        <v>8</v>
      </c>
      <c r="E49">
        <v>30</v>
      </c>
      <c r="F49">
        <v>198</v>
      </c>
      <c r="G49" s="16">
        <v>10</v>
      </c>
      <c r="H49">
        <v>30</v>
      </c>
      <c r="I49">
        <v>13</v>
      </c>
      <c r="J49">
        <v>13</v>
      </c>
      <c r="K49">
        <v>11</v>
      </c>
      <c r="L49">
        <v>136</v>
      </c>
    </row>
    <row r="50" spans="1:30" x14ac:dyDescent="0.25">
      <c r="A50" t="s">
        <v>26</v>
      </c>
      <c r="B50" t="s">
        <v>13</v>
      </c>
      <c r="C50" t="s">
        <v>7</v>
      </c>
      <c r="D50" t="s">
        <v>19</v>
      </c>
      <c r="E50" t="s">
        <v>18</v>
      </c>
      <c r="F50" t="s">
        <v>26</v>
      </c>
      <c r="G50" s="16" t="s">
        <v>14</v>
      </c>
      <c r="H50" t="s">
        <v>17</v>
      </c>
      <c r="I50" t="s">
        <v>20</v>
      </c>
      <c r="J50" t="s">
        <v>21</v>
      </c>
      <c r="K50" t="s">
        <v>24</v>
      </c>
      <c r="L50" t="s">
        <v>26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  <c r="W50" t="s">
        <v>67</v>
      </c>
      <c r="X50" t="s">
        <v>67</v>
      </c>
      <c r="Y50" t="s">
        <v>67</v>
      </c>
      <c r="Z50" t="s">
        <v>67</v>
      </c>
      <c r="AA50" t="s">
        <v>67</v>
      </c>
      <c r="AB50" t="s">
        <v>67</v>
      </c>
      <c r="AC50" t="s">
        <v>67</v>
      </c>
      <c r="AD50" t="s">
        <v>67</v>
      </c>
    </row>
    <row r="53" spans="1:30" x14ac:dyDescent="0.25">
      <c r="A53" s="15" t="s">
        <v>156</v>
      </c>
    </row>
    <row r="54" spans="1:30" x14ac:dyDescent="0.25">
      <c r="A54" s="15" t="s">
        <v>13</v>
      </c>
      <c r="B54" t="s">
        <v>7</v>
      </c>
      <c r="C54" t="s">
        <v>19</v>
      </c>
      <c r="D54" t="s">
        <v>17</v>
      </c>
      <c r="E54" t="s">
        <v>14</v>
      </c>
      <c r="F54" t="s">
        <v>18</v>
      </c>
      <c r="G54" s="16" t="s">
        <v>22</v>
      </c>
      <c r="H54" t="s">
        <v>23</v>
      </c>
      <c r="I54" t="s">
        <v>24</v>
      </c>
      <c r="J54" t="s">
        <v>67</v>
      </c>
      <c r="K54" t="s">
        <v>67</v>
      </c>
      <c r="L54" t="s">
        <v>67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  <c r="W54" t="s">
        <v>67</v>
      </c>
      <c r="X54" t="s">
        <v>67</v>
      </c>
      <c r="Y54" t="s">
        <v>67</v>
      </c>
      <c r="Z54" t="s">
        <v>67</v>
      </c>
      <c r="AA54" t="s">
        <v>67</v>
      </c>
      <c r="AB54" t="s">
        <v>67</v>
      </c>
      <c r="AC54" t="s">
        <v>67</v>
      </c>
      <c r="AD54" t="s">
        <v>67</v>
      </c>
    </row>
    <row r="56" spans="1:30" x14ac:dyDescent="0.25">
      <c r="A56" s="15" t="s">
        <v>157</v>
      </c>
    </row>
    <row r="57" spans="1:30" x14ac:dyDescent="0.25">
      <c r="A57" s="20" t="s">
        <v>13</v>
      </c>
      <c r="B57" t="s">
        <v>7</v>
      </c>
      <c r="C57" t="s">
        <v>19</v>
      </c>
      <c r="D57" t="s">
        <v>17</v>
      </c>
      <c r="E57" t="s">
        <v>14</v>
      </c>
      <c r="F57" t="s">
        <v>18</v>
      </c>
      <c r="G57" s="20" t="s">
        <v>24</v>
      </c>
      <c r="H57" t="s">
        <v>22</v>
      </c>
      <c r="I57" t="s">
        <v>23</v>
      </c>
      <c r="J57" t="s">
        <v>26</v>
      </c>
      <c r="K57" t="s">
        <v>67</v>
      </c>
      <c r="L57" t="s">
        <v>67</v>
      </c>
      <c r="M57" t="s">
        <v>67</v>
      </c>
      <c r="N57" t="s">
        <v>67</v>
      </c>
      <c r="O57" t="s">
        <v>67</v>
      </c>
      <c r="P57" t="s">
        <v>67</v>
      </c>
      <c r="Q57" t="s">
        <v>67</v>
      </c>
      <c r="R57" t="s">
        <v>67</v>
      </c>
      <c r="S57" t="s">
        <v>67</v>
      </c>
      <c r="T57" t="s">
        <v>67</v>
      </c>
      <c r="U57" t="s">
        <v>67</v>
      </c>
      <c r="V57" t="s">
        <v>67</v>
      </c>
      <c r="W57" t="s">
        <v>67</v>
      </c>
      <c r="X57" t="s">
        <v>67</v>
      </c>
      <c r="Y57" t="s">
        <v>67</v>
      </c>
      <c r="Z57" t="s">
        <v>67</v>
      </c>
      <c r="AA57" t="s">
        <v>67</v>
      </c>
      <c r="AB57" t="s">
        <v>67</v>
      </c>
      <c r="AC57" t="s">
        <v>67</v>
      </c>
      <c r="AD57" t="s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18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  <col min="7" max="8" width="11.42578125" style="20"/>
  </cols>
  <sheetData>
    <row r="1" spans="1:8" x14ac:dyDescent="0.25">
      <c r="A1" s="5" t="s">
        <v>1</v>
      </c>
      <c r="B1" s="5" t="s">
        <v>2</v>
      </c>
      <c r="G1" s="20" t="s">
        <v>154</v>
      </c>
    </row>
    <row r="2" spans="1:8" x14ac:dyDescent="0.25">
      <c r="A2" s="36">
        <v>10</v>
      </c>
      <c r="B2" s="20" t="s">
        <v>118</v>
      </c>
      <c r="G2" s="36">
        <v>10</v>
      </c>
      <c r="H2" s="20" t="s">
        <v>118</v>
      </c>
    </row>
    <row r="3" spans="1:8" x14ac:dyDescent="0.25">
      <c r="A3" s="20">
        <v>11</v>
      </c>
      <c r="B3" s="20" t="s">
        <v>77</v>
      </c>
      <c r="G3" s="20">
        <v>11</v>
      </c>
      <c r="H3" s="20" t="s">
        <v>77</v>
      </c>
    </row>
    <row r="4" spans="1:8" x14ac:dyDescent="0.25">
      <c r="A4" s="36">
        <v>20</v>
      </c>
      <c r="B4" s="20" t="s">
        <v>121</v>
      </c>
      <c r="G4" s="36">
        <v>20</v>
      </c>
      <c r="H4" s="20" t="s">
        <v>121</v>
      </c>
    </row>
    <row r="5" spans="1:8" x14ac:dyDescent="0.25">
      <c r="A5" s="36">
        <v>21</v>
      </c>
      <c r="B5" s="20" t="s">
        <v>77</v>
      </c>
      <c r="G5" s="36">
        <v>21</v>
      </c>
      <c r="H5" s="20" t="s">
        <v>77</v>
      </c>
    </row>
    <row r="6" spans="1:8" x14ac:dyDescent="0.25">
      <c r="A6" s="20">
        <v>30</v>
      </c>
      <c r="B6" s="20" t="s">
        <v>122</v>
      </c>
      <c r="G6" s="20">
        <v>30</v>
      </c>
      <c r="H6" s="20" t="s">
        <v>122</v>
      </c>
    </row>
    <row r="7" spans="1:8" x14ac:dyDescent="0.25">
      <c r="A7" s="20">
        <v>31</v>
      </c>
      <c r="B7" s="20" t="s">
        <v>77</v>
      </c>
      <c r="G7" s="20">
        <v>31</v>
      </c>
      <c r="H7" s="20" t="s">
        <v>77</v>
      </c>
    </row>
    <row r="8" spans="1:8" x14ac:dyDescent="0.25">
      <c r="A8" s="20">
        <v>70</v>
      </c>
      <c r="B8" s="20" t="s">
        <v>123</v>
      </c>
      <c r="G8" s="20">
        <v>70</v>
      </c>
      <c r="H8" s="20" t="s">
        <v>123</v>
      </c>
    </row>
    <row r="9" spans="1:8" x14ac:dyDescent="0.25">
      <c r="A9" s="20">
        <v>90</v>
      </c>
      <c r="B9" s="20" t="s">
        <v>77</v>
      </c>
      <c r="G9" s="20">
        <v>90</v>
      </c>
      <c r="H9" s="20" t="s">
        <v>77</v>
      </c>
    </row>
    <row r="10" spans="1:8" x14ac:dyDescent="0.25">
      <c r="A10" s="20">
        <v>91</v>
      </c>
      <c r="B10" s="20" t="s">
        <v>117</v>
      </c>
      <c r="G10" s="20">
        <v>91</v>
      </c>
      <c r="H10" s="20" t="s">
        <v>117</v>
      </c>
    </row>
    <row r="11" spans="1:8" x14ac:dyDescent="0.25">
      <c r="A11" s="20">
        <v>92</v>
      </c>
      <c r="B11" s="20" t="s">
        <v>76</v>
      </c>
      <c r="G11" s="20">
        <v>92</v>
      </c>
      <c r="H11" s="20" t="s">
        <v>76</v>
      </c>
    </row>
    <row r="12" spans="1:8" x14ac:dyDescent="0.25">
      <c r="A12" s="20">
        <v>93</v>
      </c>
      <c r="B12" s="20" t="s">
        <v>124</v>
      </c>
      <c r="G12" s="20">
        <v>93</v>
      </c>
      <c r="H12" s="20" t="s">
        <v>124</v>
      </c>
    </row>
    <row r="13" spans="1:8" x14ac:dyDescent="0.25">
      <c r="A13" s="20">
        <v>94</v>
      </c>
      <c r="B13" s="20" t="s">
        <v>117</v>
      </c>
      <c r="G13" s="20">
        <v>94</v>
      </c>
      <c r="H13" s="20" t="s">
        <v>117</v>
      </c>
    </row>
    <row r="14" spans="1:8" x14ac:dyDescent="0.25">
      <c r="A14" s="33">
        <v>99</v>
      </c>
      <c r="B14" s="33" t="s">
        <v>125</v>
      </c>
      <c r="G14" s="20">
        <v>99</v>
      </c>
      <c r="H14" s="20" t="s">
        <v>125</v>
      </c>
    </row>
    <row r="15" spans="1:8" x14ac:dyDescent="0.25">
      <c r="A15" s="3" t="s">
        <v>159</v>
      </c>
      <c r="B15" s="3" t="s">
        <v>77</v>
      </c>
      <c r="G15" s="20" t="s">
        <v>159</v>
      </c>
      <c r="H15" s="20" t="s">
        <v>77</v>
      </c>
    </row>
    <row r="16" spans="1:8" x14ac:dyDescent="0.25">
      <c r="A16" s="3" t="s">
        <v>166</v>
      </c>
      <c r="B16" s="3" t="s">
        <v>118</v>
      </c>
    </row>
    <row r="17" spans="1:2" x14ac:dyDescent="0.25">
      <c r="A17" s="3" t="s">
        <v>165</v>
      </c>
      <c r="B17" s="3" t="s">
        <v>76</v>
      </c>
    </row>
    <row r="18" spans="1:2" x14ac:dyDescent="0.25">
      <c r="A18" s="3" t="s">
        <v>167</v>
      </c>
      <c r="B18" s="3" t="s">
        <v>117</v>
      </c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N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  <col min="12" max="12" width="11.42578125" style="33"/>
  </cols>
  <sheetData>
    <row r="1" spans="1:14" s="1" customFormat="1" x14ac:dyDescent="0.25">
      <c r="A1" s="5" t="s">
        <v>3</v>
      </c>
      <c r="B1" s="5" t="s">
        <v>4</v>
      </c>
      <c r="C1" s="5" t="s">
        <v>5</v>
      </c>
      <c r="E1" s="42" t="b">
        <v>1</v>
      </c>
      <c r="L1" s="33"/>
    </row>
    <row r="2" spans="1:14" s="2" customFormat="1" x14ac:dyDescent="0.25">
      <c r="A2" s="33">
        <v>401</v>
      </c>
      <c r="B2" s="33">
        <v>4010000</v>
      </c>
      <c r="C2" s="20" t="s">
        <v>126</v>
      </c>
      <c r="H2" s="33">
        <v>411</v>
      </c>
      <c r="I2" s="33">
        <v>4110000</v>
      </c>
      <c r="J2" s="20" t="s">
        <v>104</v>
      </c>
      <c r="L2" s="33">
        <v>401</v>
      </c>
      <c r="M2" s="33">
        <v>4010000</v>
      </c>
      <c r="N2" s="20" t="s">
        <v>126</v>
      </c>
    </row>
    <row r="3" spans="1:14" s="1" customFormat="1" x14ac:dyDescent="0.25">
      <c r="A3" s="33"/>
      <c r="B3" s="33"/>
      <c r="C3" s="20"/>
      <c r="H3" s="10">
        <v>41101</v>
      </c>
      <c r="I3" s="10">
        <v>4110000</v>
      </c>
      <c r="J3" s="20" t="s">
        <v>78</v>
      </c>
      <c r="L3" s="33">
        <v>40101</v>
      </c>
      <c r="M3" s="33">
        <v>4010000</v>
      </c>
      <c r="N3" s="20" t="s">
        <v>127</v>
      </c>
    </row>
    <row r="4" spans="1:14" x14ac:dyDescent="0.25">
      <c r="A4" s="33"/>
      <c r="B4" s="33"/>
      <c r="C4" s="20"/>
      <c r="H4" s="10">
        <v>41102</v>
      </c>
      <c r="I4" s="10">
        <v>4110000</v>
      </c>
      <c r="J4" s="20" t="s">
        <v>79</v>
      </c>
      <c r="L4" s="33">
        <v>40102</v>
      </c>
      <c r="M4" s="33">
        <v>4010000</v>
      </c>
      <c r="N4" s="20" t="s">
        <v>128</v>
      </c>
    </row>
    <row r="5" spans="1:14" x14ac:dyDescent="0.25">
      <c r="A5" s="33"/>
      <c r="B5" s="33"/>
      <c r="C5" s="20"/>
      <c r="H5" s="10">
        <v>41103</v>
      </c>
      <c r="I5" s="10">
        <v>4110000</v>
      </c>
      <c r="J5" s="20" t="s">
        <v>80</v>
      </c>
      <c r="L5" s="33">
        <v>40103</v>
      </c>
      <c r="M5" s="33">
        <v>4010000</v>
      </c>
      <c r="N5" s="20" t="s">
        <v>152</v>
      </c>
    </row>
    <row r="6" spans="1:14" x14ac:dyDescent="0.25">
      <c r="A6" s="33"/>
      <c r="B6" s="33"/>
      <c r="C6" s="20"/>
      <c r="H6" s="10">
        <v>41104</v>
      </c>
      <c r="I6" s="10">
        <v>4110000</v>
      </c>
      <c r="J6" s="20" t="s">
        <v>81</v>
      </c>
      <c r="L6" s="33">
        <v>40104</v>
      </c>
      <c r="M6" s="33">
        <v>4010000</v>
      </c>
      <c r="N6" s="20" t="s">
        <v>130</v>
      </c>
    </row>
    <row r="7" spans="1:14" x14ac:dyDescent="0.25">
      <c r="A7" s="33"/>
      <c r="B7" s="33"/>
      <c r="C7" s="20"/>
      <c r="H7" s="10">
        <v>41105</v>
      </c>
      <c r="I7" s="10">
        <v>4110000</v>
      </c>
      <c r="J7" s="20" t="s">
        <v>82</v>
      </c>
      <c r="L7" s="33">
        <v>40105</v>
      </c>
      <c r="M7" s="33">
        <v>4010000</v>
      </c>
      <c r="N7" s="20" t="s">
        <v>131</v>
      </c>
    </row>
    <row r="8" spans="1:14" x14ac:dyDescent="0.25">
      <c r="A8" s="33"/>
      <c r="B8" s="33"/>
      <c r="C8" s="20"/>
      <c r="H8" s="10">
        <v>41106</v>
      </c>
      <c r="I8" s="10">
        <v>4110000</v>
      </c>
      <c r="J8" s="20" t="s">
        <v>83</v>
      </c>
      <c r="L8" s="33">
        <v>40106</v>
      </c>
      <c r="M8" s="33">
        <v>4010000</v>
      </c>
      <c r="N8" s="20" t="s">
        <v>129</v>
      </c>
    </row>
    <row r="9" spans="1:14" x14ac:dyDescent="0.25">
      <c r="A9" s="33"/>
      <c r="B9" s="33"/>
      <c r="C9" s="20"/>
      <c r="H9" s="10">
        <v>41107</v>
      </c>
      <c r="I9" s="10">
        <v>4110000</v>
      </c>
      <c r="J9" s="20" t="s">
        <v>84</v>
      </c>
      <c r="L9" s="33">
        <v>40107</v>
      </c>
      <c r="M9" s="33">
        <v>4010000</v>
      </c>
      <c r="N9" s="20" t="s">
        <v>132</v>
      </c>
    </row>
    <row r="10" spans="1:14" x14ac:dyDescent="0.25">
      <c r="A10" s="33"/>
      <c r="B10" s="33"/>
      <c r="C10" s="20"/>
      <c r="H10" s="10">
        <v>41108</v>
      </c>
      <c r="I10" s="10">
        <v>4110000</v>
      </c>
      <c r="J10" s="20" t="s">
        <v>85</v>
      </c>
      <c r="L10" s="33">
        <v>40108</v>
      </c>
      <c r="M10" s="33">
        <v>4010000</v>
      </c>
      <c r="N10" s="20" t="s">
        <v>133</v>
      </c>
    </row>
    <row r="11" spans="1:14" x14ac:dyDescent="0.25">
      <c r="A11" s="33"/>
      <c r="B11" s="33"/>
      <c r="C11" s="20"/>
      <c r="H11" s="10">
        <v>41109</v>
      </c>
      <c r="I11" s="10">
        <v>4110000</v>
      </c>
      <c r="J11" s="20" t="s">
        <v>86</v>
      </c>
      <c r="L11" s="33">
        <v>40109</v>
      </c>
      <c r="M11" s="33">
        <v>4010000</v>
      </c>
      <c r="N11" s="20" t="s">
        <v>134</v>
      </c>
    </row>
    <row r="12" spans="1:14" x14ac:dyDescent="0.25">
      <c r="A12" s="33"/>
      <c r="B12" s="33"/>
      <c r="C12" s="20"/>
      <c r="H12" s="10">
        <v>41110</v>
      </c>
      <c r="I12" s="10">
        <v>4110000</v>
      </c>
      <c r="J12" s="20" t="s">
        <v>87</v>
      </c>
      <c r="L12" s="33">
        <v>40110</v>
      </c>
      <c r="M12" s="33">
        <v>4010000</v>
      </c>
      <c r="N12" s="20" t="s">
        <v>135</v>
      </c>
    </row>
    <row r="13" spans="1:14" x14ac:dyDescent="0.25">
      <c r="A13" s="33"/>
      <c r="B13" s="33"/>
      <c r="C13" s="20"/>
      <c r="H13" s="10">
        <v>41111</v>
      </c>
      <c r="I13" s="10">
        <v>4110000</v>
      </c>
      <c r="J13" s="20" t="s">
        <v>88</v>
      </c>
      <c r="L13" s="33">
        <v>40111</v>
      </c>
      <c r="M13" s="33">
        <v>4010000</v>
      </c>
      <c r="N13" s="20" t="s">
        <v>136</v>
      </c>
    </row>
    <row r="14" spans="1:14" x14ac:dyDescent="0.25">
      <c r="A14" s="33"/>
      <c r="B14" s="33"/>
      <c r="C14" s="20"/>
      <c r="H14" s="10">
        <v>41112</v>
      </c>
      <c r="I14" s="10">
        <v>4110000</v>
      </c>
      <c r="J14" s="20" t="s">
        <v>89</v>
      </c>
      <c r="L14" s="33">
        <v>40112</v>
      </c>
      <c r="M14" s="33">
        <v>4010000</v>
      </c>
      <c r="N14" s="20" t="s">
        <v>137</v>
      </c>
    </row>
    <row r="15" spans="1:14" x14ac:dyDescent="0.25">
      <c r="A15" s="33"/>
      <c r="B15" s="33"/>
      <c r="C15" s="20"/>
      <c r="H15" s="10">
        <v>41113</v>
      </c>
      <c r="I15" s="10">
        <v>4110000</v>
      </c>
      <c r="J15" s="20" t="s">
        <v>90</v>
      </c>
      <c r="L15" s="33">
        <v>40113</v>
      </c>
      <c r="M15" s="33">
        <v>4010000</v>
      </c>
      <c r="N15" s="20" t="s">
        <v>138</v>
      </c>
    </row>
    <row r="16" spans="1:14" x14ac:dyDescent="0.25">
      <c r="A16" s="33"/>
      <c r="B16" s="33"/>
      <c r="C16" s="20"/>
      <c r="H16" s="10">
        <v>41114</v>
      </c>
      <c r="I16" s="10">
        <v>4110000</v>
      </c>
      <c r="J16" s="20" t="s">
        <v>91</v>
      </c>
      <c r="L16" s="33">
        <v>40114</v>
      </c>
      <c r="M16" s="33">
        <v>4010000</v>
      </c>
      <c r="N16" s="20" t="s">
        <v>139</v>
      </c>
    </row>
    <row r="17" spans="1:14" x14ac:dyDescent="0.25">
      <c r="A17" s="33"/>
      <c r="B17" s="33"/>
      <c r="C17" s="20"/>
      <c r="H17" s="10">
        <v>41115</v>
      </c>
      <c r="I17" s="10">
        <v>4110000</v>
      </c>
      <c r="J17" s="20" t="s">
        <v>92</v>
      </c>
      <c r="L17" s="33">
        <v>40115</v>
      </c>
      <c r="M17" s="33">
        <v>4010000</v>
      </c>
      <c r="N17" s="20" t="s">
        <v>140</v>
      </c>
    </row>
    <row r="18" spans="1:14" x14ac:dyDescent="0.25">
      <c r="A18" s="33"/>
      <c r="B18" s="33"/>
      <c r="C18" s="20"/>
      <c r="H18" s="10">
        <v>41116</v>
      </c>
      <c r="I18" s="10">
        <v>4110000</v>
      </c>
      <c r="J18" s="20" t="s">
        <v>93</v>
      </c>
      <c r="L18" s="33">
        <v>40116</v>
      </c>
      <c r="M18" s="33">
        <v>4010000</v>
      </c>
      <c r="N18" s="20" t="s">
        <v>141</v>
      </c>
    </row>
    <row r="19" spans="1:14" x14ac:dyDescent="0.25">
      <c r="A19" s="33"/>
      <c r="B19" s="33"/>
      <c r="C19" s="20"/>
      <c r="H19" s="10">
        <v>41117</v>
      </c>
      <c r="I19" s="10">
        <v>4110000</v>
      </c>
      <c r="J19" s="20" t="s">
        <v>94</v>
      </c>
      <c r="L19" s="33">
        <v>40117</v>
      </c>
      <c r="M19" s="33">
        <v>4010000</v>
      </c>
      <c r="N19" s="20" t="s">
        <v>142</v>
      </c>
    </row>
    <row r="20" spans="1:14" x14ac:dyDescent="0.25">
      <c r="A20" s="33"/>
      <c r="B20" s="33"/>
      <c r="C20" s="20"/>
      <c r="H20" s="10">
        <v>41118</v>
      </c>
      <c r="I20" s="10">
        <v>4110000</v>
      </c>
      <c r="J20" s="20" t="s">
        <v>95</v>
      </c>
      <c r="L20" s="33">
        <v>40118</v>
      </c>
      <c r="M20" s="33">
        <v>4010000</v>
      </c>
      <c r="N20" s="20" t="s">
        <v>143</v>
      </c>
    </row>
    <row r="21" spans="1:14" x14ac:dyDescent="0.25">
      <c r="A21" s="33"/>
      <c r="B21" s="33"/>
      <c r="C21" s="20"/>
      <c r="H21" s="10">
        <v>41119</v>
      </c>
      <c r="I21" s="10">
        <v>4110000</v>
      </c>
      <c r="J21" s="20" t="s">
        <v>96</v>
      </c>
      <c r="L21" s="33">
        <v>40119</v>
      </c>
      <c r="M21" s="33">
        <v>4010000</v>
      </c>
      <c r="N21" s="20" t="s">
        <v>144</v>
      </c>
    </row>
    <row r="22" spans="1:14" x14ac:dyDescent="0.25">
      <c r="A22" s="33"/>
      <c r="B22" s="33"/>
      <c r="C22" s="20"/>
      <c r="H22" s="10">
        <v>41120</v>
      </c>
      <c r="I22" s="10">
        <v>4110000</v>
      </c>
      <c r="J22" s="20" t="s">
        <v>97</v>
      </c>
      <c r="L22" s="33">
        <v>40120</v>
      </c>
      <c r="M22" s="33">
        <v>4010000</v>
      </c>
      <c r="N22" s="20" t="s">
        <v>145</v>
      </c>
    </row>
    <row r="23" spans="1:14" x14ac:dyDescent="0.25">
      <c r="A23" s="33"/>
      <c r="B23" s="33"/>
      <c r="C23" s="20"/>
      <c r="H23" s="10">
        <v>41121</v>
      </c>
      <c r="I23" s="10">
        <v>4110000</v>
      </c>
      <c r="J23" s="20" t="s">
        <v>98</v>
      </c>
      <c r="L23" s="33">
        <v>40121</v>
      </c>
      <c r="M23" s="33">
        <v>4010000</v>
      </c>
      <c r="N23" s="20" t="s">
        <v>146</v>
      </c>
    </row>
    <row r="24" spans="1:14" x14ac:dyDescent="0.25">
      <c r="A24" s="33"/>
      <c r="B24" s="33"/>
      <c r="C24" s="20"/>
      <c r="H24" s="10">
        <v>41122</v>
      </c>
      <c r="I24" s="10">
        <v>4110000</v>
      </c>
      <c r="J24" s="20" t="s">
        <v>99</v>
      </c>
      <c r="L24" s="33">
        <v>40122</v>
      </c>
      <c r="M24" s="33">
        <v>4010000</v>
      </c>
      <c r="N24" s="20" t="s">
        <v>147</v>
      </c>
    </row>
    <row r="25" spans="1:14" x14ac:dyDescent="0.25">
      <c r="A25" s="33"/>
      <c r="B25" s="33"/>
      <c r="C25" s="20"/>
      <c r="H25" s="10">
        <v>41123</v>
      </c>
      <c r="I25" s="10">
        <v>4110000</v>
      </c>
      <c r="J25" s="20" t="s">
        <v>100</v>
      </c>
      <c r="L25" s="33">
        <v>40123</v>
      </c>
      <c r="M25" s="33">
        <v>4010000</v>
      </c>
      <c r="N25" s="20" t="s">
        <v>148</v>
      </c>
    </row>
    <row r="26" spans="1:14" x14ac:dyDescent="0.25">
      <c r="A26" s="33"/>
      <c r="B26" s="33"/>
      <c r="C26" s="20"/>
      <c r="H26" s="10">
        <v>41124</v>
      </c>
      <c r="I26" s="10">
        <v>4110000</v>
      </c>
      <c r="J26" s="20" t="s">
        <v>101</v>
      </c>
      <c r="L26" s="33">
        <v>40124</v>
      </c>
      <c r="M26" s="33">
        <v>4010000</v>
      </c>
      <c r="N26" s="20" t="s">
        <v>149</v>
      </c>
    </row>
    <row r="27" spans="1:14" x14ac:dyDescent="0.25">
      <c r="A27" s="33"/>
      <c r="B27" s="33"/>
      <c r="C27" s="20"/>
      <c r="H27" s="10">
        <v>41125</v>
      </c>
      <c r="I27" s="10">
        <v>4110000</v>
      </c>
      <c r="J27" s="20" t="s">
        <v>102</v>
      </c>
      <c r="L27" s="33">
        <v>40125</v>
      </c>
      <c r="M27" s="33">
        <v>4010000</v>
      </c>
      <c r="N27" s="20" t="s">
        <v>150</v>
      </c>
    </row>
    <row r="28" spans="1:14" x14ac:dyDescent="0.25">
      <c r="A28" s="33"/>
      <c r="B28" s="33"/>
      <c r="C28" s="20"/>
      <c r="H28" s="10">
        <v>41126</v>
      </c>
      <c r="I28" s="10">
        <v>4110000</v>
      </c>
      <c r="J28" s="20" t="s">
        <v>103</v>
      </c>
      <c r="L28" s="33">
        <v>40126</v>
      </c>
      <c r="M28" s="33">
        <v>4010000</v>
      </c>
      <c r="N28" s="20" t="s">
        <v>151</v>
      </c>
    </row>
    <row r="29" spans="1:14" x14ac:dyDescent="0.25">
      <c r="A29" s="33"/>
      <c r="B29" s="33"/>
      <c r="C29" s="20"/>
      <c r="L29" s="33">
        <v>421</v>
      </c>
      <c r="M29" s="33">
        <v>4210000</v>
      </c>
      <c r="N29" s="20" t="s">
        <v>155</v>
      </c>
    </row>
    <row r="30" spans="1:14" x14ac:dyDescent="0.25">
      <c r="A30" s="10"/>
      <c r="B30" s="10"/>
      <c r="C30" s="20"/>
    </row>
    <row r="31" spans="1:14" x14ac:dyDescent="0.25">
      <c r="A31" s="10"/>
      <c r="B31" s="10"/>
      <c r="C31" s="20"/>
    </row>
    <row r="32" spans="1:14" x14ac:dyDescent="0.25">
      <c r="A32" s="10"/>
      <c r="B32" s="10"/>
      <c r="C32" s="20"/>
    </row>
    <row r="33" spans="1:3" x14ac:dyDescent="0.25">
      <c r="A33" s="10"/>
      <c r="B33" s="10"/>
      <c r="C33" s="20"/>
    </row>
    <row r="34" spans="1:3" x14ac:dyDescent="0.25">
      <c r="A34" s="10"/>
      <c r="B34" s="10"/>
      <c r="C34" s="20"/>
    </row>
    <row r="35" spans="1:3" x14ac:dyDescent="0.25">
      <c r="A35" s="10"/>
      <c r="B35" s="10"/>
      <c r="C35" s="20"/>
    </row>
    <row r="36" spans="1:3" x14ac:dyDescent="0.25">
      <c r="A36" s="10"/>
      <c r="B36" s="10"/>
      <c r="C36" s="20"/>
    </row>
    <row r="37" spans="1:3" x14ac:dyDescent="0.25">
      <c r="A37" s="10"/>
      <c r="B37" s="10"/>
      <c r="C37" s="20"/>
    </row>
    <row r="38" spans="1:3" x14ac:dyDescent="0.25">
      <c r="A38" s="10"/>
      <c r="B38" s="10"/>
      <c r="C38" s="20"/>
    </row>
    <row r="39" spans="1:3" x14ac:dyDescent="0.25">
      <c r="A39" s="10"/>
      <c r="B39" s="10"/>
      <c r="C39" s="20"/>
    </row>
    <row r="40" spans="1:3" x14ac:dyDescent="0.25">
      <c r="A40" s="10"/>
      <c r="B40" s="10"/>
      <c r="C40" s="20"/>
    </row>
    <row r="41" spans="1:3" x14ac:dyDescent="0.25">
      <c r="A41" s="10"/>
      <c r="B41" s="10"/>
      <c r="C41" s="20"/>
    </row>
    <row r="42" spans="1:3" x14ac:dyDescent="0.25">
      <c r="A42" s="10"/>
      <c r="B42" s="10"/>
      <c r="C42" s="20"/>
    </row>
    <row r="43" spans="1:3" x14ac:dyDescent="0.25">
      <c r="A43" s="10"/>
      <c r="B43" s="10"/>
      <c r="C43" s="20"/>
    </row>
    <row r="44" spans="1:3" x14ac:dyDescent="0.25">
      <c r="A44" s="10"/>
      <c r="B44" s="10"/>
      <c r="C44" s="20"/>
    </row>
    <row r="45" spans="1:3" x14ac:dyDescent="0.25">
      <c r="A45" s="10"/>
      <c r="B45" s="10"/>
      <c r="C45" s="20"/>
    </row>
    <row r="46" spans="1:3" x14ac:dyDescent="0.25">
      <c r="A46" s="10"/>
      <c r="B46" s="10"/>
      <c r="C46" s="20"/>
    </row>
    <row r="47" spans="1:3" x14ac:dyDescent="0.25">
      <c r="A47" s="10"/>
      <c r="B47" s="10"/>
      <c r="C47" s="20"/>
    </row>
    <row r="48" spans="1:3" x14ac:dyDescent="0.25">
      <c r="A48" s="10"/>
      <c r="B48" s="10"/>
      <c r="C48" s="20"/>
    </row>
    <row r="49" spans="1:3" x14ac:dyDescent="0.25">
      <c r="A49" s="10"/>
      <c r="B49" s="10"/>
      <c r="C49" s="20"/>
    </row>
    <row r="50" spans="1:3" x14ac:dyDescent="0.25">
      <c r="A50" s="10"/>
      <c r="B50" s="10"/>
      <c r="C50" s="20"/>
    </row>
    <row r="51" spans="1:3" x14ac:dyDescent="0.25">
      <c r="A51" s="10"/>
      <c r="B51" s="10"/>
      <c r="C51" s="20"/>
    </row>
    <row r="52" spans="1:3" x14ac:dyDescent="0.25">
      <c r="A52" s="10"/>
      <c r="B52" s="10"/>
      <c r="C52" s="20"/>
    </row>
    <row r="53" spans="1:3" x14ac:dyDescent="0.25">
      <c r="A53" s="10"/>
      <c r="B53" s="10"/>
      <c r="C53" s="20"/>
    </row>
    <row r="54" spans="1:3" x14ac:dyDescent="0.25">
      <c r="A54" s="10"/>
      <c r="B54" s="10"/>
      <c r="C54" s="20"/>
    </row>
    <row r="55" spans="1:3" x14ac:dyDescent="0.25">
      <c r="A55" s="10"/>
      <c r="B55" s="10"/>
      <c r="C55" s="20"/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3</xdr:col>
                    <xdr:colOff>657225</xdr:colOff>
                    <xdr:row>0</xdr:row>
                    <xdr:rowOff>9525</xdr:rowOff>
                  </from>
                  <to>
                    <xdr:col>6</xdr:col>
                    <xdr:colOff>200025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2017-02-09T22:31:26Z</dcterms:modified>
</cp:coreProperties>
</file>