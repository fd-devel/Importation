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 calcMode="manual"/>
</workbook>
</file>

<file path=xl/calcChain.xml><?xml version="1.0" encoding="utf-8"?>
<calcChain xmlns="http://schemas.openxmlformats.org/spreadsheetml/2006/main">
  <c r="A4" i="9" l="1"/>
  <c r="B4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5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6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7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8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9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0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1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<sst xmlns="http://schemas.openxmlformats.org/spreadsheetml/2006/main" count="282" uniqueCount="128">
  <si>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</si>
  <si>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</si>
  <si>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</si>
  <si>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</si>
  <si>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</si>
  <si>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</si>
  <si>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</si>
  <si>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</si>
  <si>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</si>
  <si>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</si>
  <si>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</si>
  <si>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</si>
  <si>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</si>
  <si>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</si>
  <si>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</si>
  <si>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</si>
  <si>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</si>
  <si>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</si>
  <si>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</si>
  <si>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</si>
  <si>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</si>
  <si>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</si>
  <si>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</si>
  <si>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</si>
  <si>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</si>
  <si>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</si>
  <si>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</si>
  <si>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</si>
  <si>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</si>
  <si>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</si>
  <si>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</si>
  <si>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</si>
  <si>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</si>
  <si>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</si>
  <si>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</si>
  <si>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</si>
  <si>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</si>
  <si>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</si>
  <si>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</si>
  <si>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</si>
  <si>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</si>
  <si>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</si>
  <si>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</si>
  <si>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</si>
  <si>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</si>
  <si>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</si>
  <si>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</si>
  <si>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</si>
  <si>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</si>
  <si>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</si>
  <si>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</si>
  <si>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</si>
  <si>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</si>
  <si>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</si>
  <si>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</si>
  <si>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</si>
  <si>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</si>
  <si>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</si>
  <si>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</si>
  <si>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</si>
  <si>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</si>
  <si>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</si>
  <si>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</si>
  <si>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</si>
  <si>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</si>
  <si>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</si>
  <si>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</si>
  <si>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</si>
  <si>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</si>
  <si>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</si>
  <si>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</si>
  <si>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</si>
  <si>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</si>
  <si>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</si>
  <si>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</si>
  <si>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 xml:space="preserve">Paramétrage fichier </t>
  </si>
  <si>
    <t>Sur la ligne ci-dessous indiquer le nombre de caractères de chaque colonne</t>
  </si>
  <si>
    <t>Première ligne à importer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</si>
  <si>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</si>
  <si>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</si>
  <si>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</si>
  <si>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</si>
  <si>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</si>
  <si>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</si>
  <si>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</si>
  <si>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</si>
  <si>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</si>
  <si>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</si>
  <si>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</si>
  <si>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</si>
  <si>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</si>
  <si>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</si>
  <si>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</si>
  <si>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</si>
  <si>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</si>
  <si>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</si>
  <si>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</si>
  <si>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</si>
  <si>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</si>
  <si>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</si>
  <si>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</si>
  <si>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</si>
  <si>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</si>
  <si>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</si>
  <si>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</si>
  <si>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</si>
  <si>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</si>
  <si>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aa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</si>
  <si>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</si>
  <si>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</si>
  <si>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</si>
  <si>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</si>
  <si>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</si>
  <si>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</si>
  <si>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</si>
  <si>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</si>
  <si>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</si>
  <si>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</si>
  <si>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</si>
  <si>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VIDE</t>
  </si>
  <si>
    <t>06</t>
  </si>
  <si>
    <t>ACH</t>
  </si>
  <si>
    <t>B1</t>
  </si>
  <si>
    <t>BQ1</t>
  </si>
  <si>
    <t>07</t>
  </si>
  <si>
    <t>08</t>
  </si>
  <si>
    <t>22</t>
  </si>
  <si>
    <t>AUTRE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</si>
</sst>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0" borderId="0" xfId="0" applyFont="1"/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49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16</xdr:row>
          <xdr:rowOff>57150</xdr:rowOff>
        </xdr:from>
        <xdr:to>
          <xdr:col>1</xdr:col>
          <xdr:colOff>1485900</xdr:colOff>
          <xdr:row>18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16</xdr:row>
          <xdr:rowOff>66675</xdr:rowOff>
        </xdr:from>
        <xdr:to>
          <xdr:col>1</xdr:col>
          <xdr:colOff>447675</xdr:colOff>
          <xdr:row>18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16</xdr:row>
          <xdr:rowOff>66675</xdr:rowOff>
        </xdr:from>
        <xdr:to>
          <xdr:col>2</xdr:col>
          <xdr:colOff>771525</xdr:colOff>
          <xdr:row>18</xdr:row>
          <xdr:rowOff>28575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16</xdr:row>
          <xdr:rowOff>66675</xdr:rowOff>
        </xdr:from>
        <xdr:to>
          <xdr:col>2</xdr:col>
          <xdr:colOff>1695450</xdr:colOff>
          <xdr:row>18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EBP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15</xdr:row>
          <xdr:rowOff>114300</xdr:rowOff>
        </xdr:from>
        <xdr:to>
          <xdr:col>2</xdr:col>
          <xdr:colOff>4714875</xdr:colOff>
          <xdr:row>18</xdr:row>
          <xdr:rowOff>180975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Initialiser les paramètres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152400</xdr:rowOff>
        </xdr:from>
        <xdr:to>
          <xdr:col>0</xdr:col>
          <xdr:colOff>371475</xdr:colOff>
          <xdr:row>3</xdr:row>
          <xdr:rowOff>19050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tabSelected="1" workbookViewId="0">
      <selection activeCell="B14" sqref="B14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126</v>
      </c>
      <c r="D1" s="1" t="s">
        <v>114</v>
      </c>
      <c r="E1" s="35">
        <v>42758</v>
      </c>
      <c r="Z1" t="s">
        <v>9</v>
      </c>
    </row>
    <row r="2" spans="1:26" x14ac:dyDescent="0.25">
      <c r="A2" s="1" t="s">
        <v>11</v>
      </c>
      <c r="B2" s="6" t="s">
        <v>107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/>
      <c r="B4" s="23" t="s">
        <v>127</v>
      </c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42765</v>
      </c>
    </row>
    <row r="12" spans="1:26" x14ac:dyDescent="0.25">
      <c r="A12" s="1" t="s">
        <v>8</v>
      </c>
      <c r="B12" s="9">
        <v>0.97468749999999993</v>
      </c>
    </row>
    <row r="13" spans="1:26" x14ac:dyDescent="0.25">
      <c r="D13">
        <v>3.2</v>
      </c>
    </row>
    <row r="18" spans="1:2" x14ac:dyDescent="0.25">
      <c r="A18" s="2"/>
      <c r="B18" s="4"/>
    </row>
  </sheetData>
  <dataValidations count="1">
    <dataValidation type="list" allowBlank="1" showInputMessage="1" promptTitle="Choisir le modèle d'écritures" sqref="B4">
      <formula1>"ISAGRI, POMO, EBP, AUTRE"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533400</xdr:colOff>
                    <xdr:row>16</xdr:row>
                    <xdr:rowOff>57150</xdr:rowOff>
                  </from>
                  <to>
                    <xdr:col>1</xdr:col>
                    <xdr:colOff>1485900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1247775</xdr:colOff>
                    <xdr:row>16</xdr:row>
                    <xdr:rowOff>66675</xdr:rowOff>
                  </from>
                  <to>
                    <xdr:col>1</xdr:col>
                    <xdr:colOff>447675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1</xdr:col>
                    <xdr:colOff>1543050</xdr:colOff>
                    <xdr:row>16</xdr:row>
                    <xdr:rowOff>66675</xdr:rowOff>
                  </from>
                  <to>
                    <xdr:col>2</xdr:col>
                    <xdr:colOff>771525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EBP">
                <anchor moveWithCells="1" sizeWithCells="1">
                  <from>
                    <xdr:col>2</xdr:col>
                    <xdr:colOff>828675</xdr:colOff>
                    <xdr:row>16</xdr:row>
                    <xdr:rowOff>66675</xdr:rowOff>
                  </from>
                  <to>
                    <xdr:col>2</xdr:col>
                    <xdr:colOff>1695450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Group Box 16">
              <controlPr defaultSize="0" autoFill="0" autoPict="0">
                <anchor moveWithCells="1">
                  <from>
                    <xdr:col>0</xdr:col>
                    <xdr:colOff>1066800</xdr:colOff>
                    <xdr:row>15</xdr:row>
                    <xdr:rowOff>114300</xdr:rowOff>
                  </from>
                  <to>
                    <xdr:col>2</xdr:col>
                    <xdr:colOff>4714875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8"/>
  <sheetViews>
    <sheetView workbookViewId="0">
      <selection sqref="A1:F1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40" t="s">
        <v>75</v>
      </c>
      <c r="B1" s="40"/>
      <c r="C1" s="40"/>
      <c r="D1" s="40"/>
      <c r="E1" s="40"/>
      <c r="F1" s="40"/>
      <c r="G1" s="41" t="s">
        <v>77</v>
      </c>
      <c r="H1" s="42"/>
      <c r="I1" s="33">
        <v>1</v>
      </c>
    </row>
    <row r="2" spans="1:30" ht="15.75" thickBot="1" x14ac:dyDescent="0.3"/>
    <row r="3" spans="1:30" ht="25.5" customHeight="1" thickBot="1" x14ac:dyDescent="0.3">
      <c r="B3" s="30" t="s">
        <v>40</v>
      </c>
      <c r="C3" s="31"/>
      <c r="D3" s="38" t="s">
        <v>43</v>
      </c>
      <c r="E3" s="39"/>
      <c r="F3" s="17"/>
      <c r="G3" s="30" t="s">
        <v>68</v>
      </c>
      <c r="H3" s="31"/>
      <c r="I3" s="38" t="s">
        <v>109</v>
      </c>
      <c r="J3" s="39"/>
      <c r="K3" s="21"/>
    </row>
    <row r="4" spans="1:30" ht="22.5" customHeight="1" x14ac:dyDescent="0.25">
      <c r="A4">
        <f>SUM(A5:AD5)</f>
        <v>465</v>
      </c>
      <c r="B4" s="32" t="str">
        <f>IF(D3=Listes!E9,Listes!E19,"")</f>
        <v/>
      </c>
    </row>
    <row r="5" spans="1:30" ht="15.75" thickBot="1" x14ac:dyDescent="0.3">
      <c r="A5" s="20">
        <v>6</v>
      </c>
      <c r="B5" s="20">
        <v>2</v>
      </c>
      <c r="C5" s="20">
        <v>8</v>
      </c>
      <c r="D5" s="20">
        <v>8</v>
      </c>
      <c r="E5" s="20">
        <v>30</v>
      </c>
      <c r="F5" s="20">
        <v>198</v>
      </c>
      <c r="G5" s="20">
        <v>10</v>
      </c>
      <c r="H5" s="20">
        <v>30</v>
      </c>
      <c r="I5" s="20">
        <v>13</v>
      </c>
      <c r="J5" s="20">
        <v>13</v>
      </c>
      <c r="K5" s="20">
        <v>11</v>
      </c>
      <c r="L5" s="20">
        <v>136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67</v>
      </c>
      <c r="B7" s="18" t="s">
        <v>67</v>
      </c>
      <c r="C7" s="18" t="s">
        <v>67</v>
      </c>
      <c r="D7" s="18" t="s">
        <v>67</v>
      </c>
      <c r="E7" s="18" t="s">
        <v>67</v>
      </c>
      <c r="F7" s="18" t="s">
        <v>67</v>
      </c>
      <c r="G7" s="18" t="s">
        <v>67</v>
      </c>
      <c r="H7" s="18" t="s">
        <v>67</v>
      </c>
      <c r="I7" s="18" t="s">
        <v>67</v>
      </c>
      <c r="J7" s="18" t="s">
        <v>67</v>
      </c>
      <c r="K7" s="18" t="s">
        <v>67</v>
      </c>
      <c r="L7" s="18" t="s">
        <v>67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InputMessage="1" showErrorMessage="1" errorTitle="A sélectionner dans la liste!" error="Vous devez uniquement choisir une valeur dans la liste" promptTitle="Séparateur" prompt="Choisir le séparateur de données,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ModeDev">
              <controlPr defaultSize="0" autoFill="0" autoLine="0" autoPict="0">
                <anchor moveWithCells="1">
                  <from>
                    <xdr:col>0</xdr:col>
                    <xdr:colOff>152400</xdr:colOff>
                    <xdr:row>2</xdr:row>
                    <xdr:rowOff>152400</xdr:rowOff>
                  </from>
                  <to>
                    <xdr:col>0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0"/>
  <sheetViews>
    <sheetView topLeftCell="A29" workbookViewId="0">
      <selection activeCell="A40" sqref="A40:AD40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116</v>
      </c>
      <c r="D1" s="36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108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109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110</v>
      </c>
    </row>
    <row r="8" spans="1:8" x14ac:dyDescent="0.25">
      <c r="A8" s="15">
        <v>4</v>
      </c>
      <c r="B8" t="s">
        <v>7</v>
      </c>
      <c r="E8" t="s">
        <v>117</v>
      </c>
      <c r="G8" s="20">
        <v>6</v>
      </c>
      <c r="H8" t="s">
        <v>111</v>
      </c>
    </row>
    <row r="9" spans="1:8" x14ac:dyDescent="0.25">
      <c r="A9" s="15">
        <v>5</v>
      </c>
      <c r="B9" t="s">
        <v>49</v>
      </c>
      <c r="E9" t="s">
        <v>45</v>
      </c>
      <c r="G9" s="20">
        <v>7</v>
      </c>
      <c r="H9" t="s">
        <v>112</v>
      </c>
    </row>
    <row r="10" spans="1:8" x14ac:dyDescent="0.25">
      <c r="A10" s="15">
        <v>6</v>
      </c>
      <c r="B10" t="s">
        <v>14</v>
      </c>
      <c r="E10" t="s">
        <v>46</v>
      </c>
      <c r="G10" s="20">
        <v>8</v>
      </c>
      <c r="H10" t="s">
        <v>113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76</v>
      </c>
    </row>
    <row r="20" spans="1:5" x14ac:dyDescent="0.25">
      <c r="A20" s="15">
        <v>16</v>
      </c>
      <c r="B20" t="s">
        <v>23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119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115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18</v>
      </c>
      <c r="F43" t="s">
        <v>26</v>
      </c>
      <c r="G43" t="s">
        <v>26</v>
      </c>
      <c r="H43" t="s">
        <v>14</v>
      </c>
      <c r="I43" t="s">
        <v>17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70</v>
      </c>
      <c r="G45"/>
    </row>
    <row r="46" spans="1:30" x14ac:dyDescent="0.25">
      <c r="A46" t="s">
        <v>13</v>
      </c>
      <c r="B46" t="s">
        <v>7</v>
      </c>
      <c r="C46" t="s">
        <v>19</v>
      </c>
      <c r="D46" t="s">
        <v>14</v>
      </c>
      <c r="E46" t="s">
        <v>18</v>
      </c>
      <c r="F46" t="s">
        <v>20</v>
      </c>
      <c r="G46" t="s">
        <v>21</v>
      </c>
      <c r="H46" t="s">
        <v>17</v>
      </c>
      <c r="I46" t="s">
        <v>26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118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11</v>
      </c>
      <c r="L49">
        <v>136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20</v>
      </c>
      <c r="J50" t="s">
        <v>21</v>
      </c>
      <c r="K50" t="s">
        <v>24</v>
      </c>
      <c r="L50" t="s">
        <v>26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2" x14ac:dyDescent="0.25">
      <c r="A1" s="5" t="s">
        <v>1</v>
      </c>
      <c r="B1" s="5" t="s">
        <v>2</v>
      </c>
    </row>
    <row r="2" spans="1:2" x14ac:dyDescent="0.25">
      <c r="A2" s="37" t="s">
        <v>120</v>
      </c>
      <c r="B2" s="20" t="s">
        <v>121</v>
      </c>
    </row>
    <row r="3" spans="1:2" x14ac:dyDescent="0.25">
      <c r="A3" s="20" t="s">
        <v>122</v>
      </c>
      <c r="B3" s="20" t="s">
        <v>123</v>
      </c>
    </row>
    <row r="4" spans="1:2" x14ac:dyDescent="0.25">
      <c r="A4" s="37" t="s">
        <v>124</v>
      </c>
      <c r="B4" s="3" t="s">
        <v>78</v>
      </c>
    </row>
    <row r="5" spans="1:2" x14ac:dyDescent="0.25">
      <c r="A5" s="37" t="s">
        <v>125</v>
      </c>
      <c r="B5" s="3" t="s">
        <v>79</v>
      </c>
    </row>
    <row r="14" spans="1:2" x14ac:dyDescent="0.25">
      <c r="A14" s="5"/>
      <c r="B14" s="5"/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J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</cols>
  <sheetData>
    <row r="1" spans="1:10" s="1" customFormat="1" x14ac:dyDescent="0.25">
      <c r="A1" s="5" t="s">
        <v>3</v>
      </c>
      <c r="B1" s="5" t="s">
        <v>4</v>
      </c>
      <c r="C1" s="5" t="s">
        <v>5</v>
      </c>
    </row>
    <row r="2" spans="1:10" s="2" customFormat="1" x14ac:dyDescent="0.25">
      <c r="A2" s="34"/>
      <c r="B2" s="34"/>
      <c r="C2" s="20"/>
      <c r="H2" s="34">
        <v>411</v>
      </c>
      <c r="I2" s="34">
        <v>4110000</v>
      </c>
      <c r="J2" s="20" t="s">
        <v>106</v>
      </c>
    </row>
    <row r="3" spans="1:10" s="1" customFormat="1" x14ac:dyDescent="0.25">
      <c r="A3" s="10"/>
      <c r="B3" s="10"/>
      <c r="C3" s="20"/>
      <c r="H3" s="10">
        <v>41101</v>
      </c>
      <c r="I3" s="10">
        <v>4110000</v>
      </c>
      <c r="J3" s="20" t="s">
        <v>80</v>
      </c>
    </row>
    <row r="4" spans="1:10" x14ac:dyDescent="0.25">
      <c r="A4" s="10"/>
      <c r="B4" s="10"/>
      <c r="C4" s="20"/>
      <c r="H4" s="10">
        <v>41102</v>
      </c>
      <c r="I4" s="10">
        <v>4110000</v>
      </c>
      <c r="J4" s="20" t="s">
        <v>81</v>
      </c>
    </row>
    <row r="5" spans="1:10" x14ac:dyDescent="0.25">
      <c r="A5" s="10"/>
      <c r="B5" s="10"/>
      <c r="C5" s="20"/>
      <c r="H5" s="10">
        <v>41103</v>
      </c>
      <c r="I5" s="10">
        <v>4110000</v>
      </c>
      <c r="J5" s="20" t="s">
        <v>82</v>
      </c>
    </row>
    <row r="6" spans="1:10" x14ac:dyDescent="0.25">
      <c r="A6" s="10"/>
      <c r="B6" s="10"/>
      <c r="C6" s="20"/>
      <c r="H6" s="10">
        <v>41104</v>
      </c>
      <c r="I6" s="10">
        <v>4110000</v>
      </c>
      <c r="J6" s="20" t="s">
        <v>83</v>
      </c>
    </row>
    <row r="7" spans="1:10" x14ac:dyDescent="0.25">
      <c r="A7" s="10"/>
      <c r="B7" s="10"/>
      <c r="C7" s="20"/>
      <c r="H7" s="10">
        <v>41105</v>
      </c>
      <c r="I7" s="10">
        <v>4110000</v>
      </c>
      <c r="J7" s="20" t="s">
        <v>84</v>
      </c>
    </row>
    <row r="8" spans="1:10" x14ac:dyDescent="0.25">
      <c r="A8" s="10"/>
      <c r="B8" s="10"/>
      <c r="C8" s="20"/>
      <c r="H8" s="10">
        <v>41106</v>
      </c>
      <c r="I8" s="10">
        <v>4110000</v>
      </c>
      <c r="J8" s="20" t="s">
        <v>85</v>
      </c>
    </row>
    <row r="9" spans="1:10" x14ac:dyDescent="0.25">
      <c r="A9" s="10"/>
      <c r="B9" s="10"/>
      <c r="C9" s="20"/>
      <c r="H9" s="10">
        <v>41107</v>
      </c>
      <c r="I9" s="10">
        <v>4110000</v>
      </c>
      <c r="J9" s="20" t="s">
        <v>86</v>
      </c>
    </row>
    <row r="10" spans="1:10" x14ac:dyDescent="0.25">
      <c r="A10" s="10"/>
      <c r="B10" s="10"/>
      <c r="C10" s="20"/>
      <c r="H10" s="10">
        <v>41108</v>
      </c>
      <c r="I10" s="10">
        <v>4110000</v>
      </c>
      <c r="J10" s="20" t="s">
        <v>87</v>
      </c>
    </row>
    <row r="11" spans="1:10" x14ac:dyDescent="0.25">
      <c r="A11" s="10"/>
      <c r="B11" s="10"/>
      <c r="C11" s="20"/>
      <c r="H11" s="10">
        <v>41109</v>
      </c>
      <c r="I11" s="10">
        <v>4110000</v>
      </c>
      <c r="J11" s="20" t="s">
        <v>88</v>
      </c>
    </row>
    <row r="12" spans="1:10" x14ac:dyDescent="0.25">
      <c r="A12" s="10"/>
      <c r="B12" s="10"/>
      <c r="C12" s="20"/>
      <c r="H12" s="10">
        <v>41110</v>
      </c>
      <c r="I12" s="10">
        <v>4110000</v>
      </c>
      <c r="J12" s="20" t="s">
        <v>89</v>
      </c>
    </row>
    <row r="13" spans="1:10" x14ac:dyDescent="0.25">
      <c r="A13" s="10"/>
      <c r="B13" s="10"/>
      <c r="C13" s="20"/>
      <c r="H13" s="10">
        <v>41111</v>
      </c>
      <c r="I13" s="10">
        <v>4110000</v>
      </c>
      <c r="J13" s="20" t="s">
        <v>90</v>
      </c>
    </row>
    <row r="14" spans="1:10" x14ac:dyDescent="0.25">
      <c r="A14" s="10"/>
      <c r="B14" s="10"/>
      <c r="C14" s="20"/>
      <c r="H14" s="10">
        <v>41112</v>
      </c>
      <c r="I14" s="10">
        <v>4110000</v>
      </c>
      <c r="J14" s="20" t="s">
        <v>91</v>
      </c>
    </row>
    <row r="15" spans="1:10" x14ac:dyDescent="0.25">
      <c r="A15" s="10"/>
      <c r="B15" s="10"/>
      <c r="C15" s="20"/>
      <c r="H15" s="10">
        <v>41113</v>
      </c>
      <c r="I15" s="10">
        <v>4110000</v>
      </c>
      <c r="J15" s="20" t="s">
        <v>92</v>
      </c>
    </row>
    <row r="16" spans="1:10" x14ac:dyDescent="0.25">
      <c r="A16" s="10"/>
      <c r="B16" s="10"/>
      <c r="C16" s="20"/>
      <c r="H16" s="10">
        <v>41114</v>
      </c>
      <c r="I16" s="10">
        <v>4110000</v>
      </c>
      <c r="J16" s="20" t="s">
        <v>93</v>
      </c>
    </row>
    <row r="17" spans="1:10" x14ac:dyDescent="0.25">
      <c r="A17" s="10"/>
      <c r="B17" s="10"/>
      <c r="C17" s="20"/>
      <c r="H17" s="10">
        <v>41115</v>
      </c>
      <c r="I17" s="10">
        <v>4110000</v>
      </c>
      <c r="J17" s="20" t="s">
        <v>94</v>
      </c>
    </row>
    <row r="18" spans="1:10" x14ac:dyDescent="0.25">
      <c r="A18" s="10"/>
      <c r="B18" s="10"/>
      <c r="C18" s="20"/>
      <c r="H18" s="10">
        <v>41116</v>
      </c>
      <c r="I18" s="10">
        <v>4110000</v>
      </c>
      <c r="J18" s="20" t="s">
        <v>95</v>
      </c>
    </row>
    <row r="19" spans="1:10" x14ac:dyDescent="0.25">
      <c r="A19" s="10"/>
      <c r="B19" s="10"/>
      <c r="C19" s="20"/>
      <c r="H19" s="10">
        <v>41117</v>
      </c>
      <c r="I19" s="10">
        <v>4110000</v>
      </c>
      <c r="J19" s="20" t="s">
        <v>96</v>
      </c>
    </row>
    <row r="20" spans="1:10" x14ac:dyDescent="0.25">
      <c r="A20" s="10"/>
      <c r="B20" s="10"/>
      <c r="C20" s="20"/>
      <c r="H20" s="10">
        <v>41118</v>
      </c>
      <c r="I20" s="10">
        <v>4110000</v>
      </c>
      <c r="J20" s="20" t="s">
        <v>97</v>
      </c>
    </row>
    <row r="21" spans="1:10" x14ac:dyDescent="0.25">
      <c r="A21" s="10"/>
      <c r="B21" s="10"/>
      <c r="C21" s="20"/>
      <c r="H21" s="10">
        <v>41119</v>
      </c>
      <c r="I21" s="10">
        <v>4110000</v>
      </c>
      <c r="J21" s="20" t="s">
        <v>98</v>
      </c>
    </row>
    <row r="22" spans="1:10" x14ac:dyDescent="0.25">
      <c r="A22" s="10"/>
      <c r="B22" s="10"/>
      <c r="C22" s="20"/>
      <c r="H22" s="10">
        <v>41120</v>
      </c>
      <c r="I22" s="10">
        <v>4110000</v>
      </c>
      <c r="J22" s="20" t="s">
        <v>99</v>
      </c>
    </row>
    <row r="23" spans="1:10" x14ac:dyDescent="0.25">
      <c r="A23" s="10"/>
      <c r="B23" s="10"/>
      <c r="C23" s="20"/>
      <c r="H23" s="10">
        <v>41121</v>
      </c>
      <c r="I23" s="10">
        <v>4110000</v>
      </c>
      <c r="J23" s="20" t="s">
        <v>100</v>
      </c>
    </row>
    <row r="24" spans="1:10" x14ac:dyDescent="0.25">
      <c r="A24" s="10"/>
      <c r="B24" s="10"/>
      <c r="C24" s="20"/>
      <c r="H24" s="10">
        <v>41122</v>
      </c>
      <c r="I24" s="10">
        <v>4110000</v>
      </c>
      <c r="J24" s="20" t="s">
        <v>101</v>
      </c>
    </row>
    <row r="25" spans="1:10" x14ac:dyDescent="0.25">
      <c r="A25" s="10"/>
      <c r="B25" s="10"/>
      <c r="C25" s="20"/>
      <c r="H25" s="10">
        <v>41123</v>
      </c>
      <c r="I25" s="10">
        <v>4110000</v>
      </c>
      <c r="J25" s="20" t="s">
        <v>102</v>
      </c>
    </row>
    <row r="26" spans="1:10" x14ac:dyDescent="0.25">
      <c r="A26" s="10"/>
      <c r="B26" s="10"/>
      <c r="C26" s="20"/>
      <c r="H26" s="10">
        <v>41124</v>
      </c>
      <c r="I26" s="10">
        <v>4110000</v>
      </c>
      <c r="J26" s="20" t="s">
        <v>103</v>
      </c>
    </row>
    <row r="27" spans="1:10" x14ac:dyDescent="0.25">
      <c r="A27" s="10"/>
      <c r="B27" s="10"/>
      <c r="C27" s="20"/>
      <c r="H27" s="10">
        <v>41125</v>
      </c>
      <c r="I27" s="10">
        <v>4110000</v>
      </c>
      <c r="J27" s="20" t="s">
        <v>104</v>
      </c>
    </row>
    <row r="28" spans="1:10" x14ac:dyDescent="0.25">
      <c r="A28" s="10"/>
      <c r="B28" s="10"/>
      <c r="C28" s="20"/>
      <c r="H28" s="10">
        <v>41126</v>
      </c>
      <c r="I28" s="10">
        <v>4110000</v>
      </c>
      <c r="J28" s="20" t="s">
        <v>105</v>
      </c>
    </row>
    <row r="29" spans="1:10" x14ac:dyDescent="0.25">
      <c r="A29" s="10"/>
      <c r="B29" s="10"/>
    </row>
    <row r="30" spans="1:10" x14ac:dyDescent="0.25">
      <c r="A30" s="10"/>
      <c r="B30" s="10"/>
      <c r="C30" s="20"/>
    </row>
    <row r="31" spans="1:10" x14ac:dyDescent="0.25">
      <c r="A31" s="10"/>
      <c r="B31" s="10"/>
    </row>
    <row r="32" spans="1:10" x14ac:dyDescent="0.25">
      <c r="A32" s="10"/>
      <c r="B32" s="10"/>
    </row>
    <row r="33" spans="1:3" x14ac:dyDescent="0.25">
      <c r="A33" s="10"/>
      <c r="B33" s="10"/>
      <c r="C33" s="20"/>
    </row>
    <row r="34" spans="1:3" x14ac:dyDescent="0.25">
      <c r="A34" s="10"/>
      <c r="B34" s="10"/>
      <c r="C34" s="20"/>
    </row>
    <row r="35" spans="1:3" x14ac:dyDescent="0.25">
      <c r="A35" s="10"/>
      <c r="B35" s="10"/>
      <c r="C35" s="5"/>
    </row>
    <row r="36" spans="1:3" x14ac:dyDescent="0.25">
      <c r="A36" s="10"/>
      <c r="B36" s="10"/>
      <c r="C36" s="5"/>
    </row>
    <row r="37" spans="1:3" x14ac:dyDescent="0.25">
      <c r="C37"/>
    </row>
    <row r="38" spans="1:3" x14ac:dyDescent="0.25">
      <c r="C38"/>
    </row>
    <row r="39" spans="1:3" x14ac:dyDescent="0.25"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2017-01-30T22:46:28Z</dcterms:modified>
</cp:coreProperties>
</file>